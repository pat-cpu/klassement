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ropbox\THE WHISKIES\klassement\"/>
    </mc:Choice>
  </mc:AlternateContent>
  <xr:revisionPtr revIDLastSave="0" documentId="13_ncr:1_{EB638304-34AF-43FA-B0A3-59B867314A93}" xr6:coauthVersionLast="47" xr6:coauthVersionMax="47" xr10:uidLastSave="{00000000-0000-0000-0000-000000000000}"/>
  <bookViews>
    <workbookView xWindow="3780" yWindow="1575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" i="20" l="1"/>
  <c r="E44" i="1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<sst xmlns="http://schemas.openxmlformats.org/spreadsheetml/2006/main" count="835" uniqueCount="299">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</sst>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>
      <alignment horizontal="center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0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 t="s">
        <v>116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46138</v>
      </c>
      <c r="I1" s="79">
        <f ca="1">Loting!$R$2</f>
        <v>46138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46138</v>
      </c>
      <c r="I9" s="79">
        <f ca="1">Loting!$R$2</f>
        <v>46138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46138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46138</v>
      </c>
      <c r="I25" s="79">
        <f ca="1">Loting!$R$2</f>
        <v>46138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46138</v>
      </c>
      <c r="I33" s="79">
        <f ca="1">Loting!$R$2</f>
        <v>46138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46138</v>
      </c>
      <c r="I41" s="79">
        <f ca="1">Loting!$R$2</f>
        <v>46138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5" t="s">
        <v>297</v>
      </c>
      <c r="C1" s="296"/>
      <c r="D1" s="222"/>
      <c r="E1" s="28" t="s">
        <v>6</v>
      </c>
      <c r="F1" s="29">
        <v>5</v>
      </c>
      <c r="G1" s="300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1"/>
      <c r="H2" s="3"/>
      <c r="J2" s="59"/>
      <c r="M2" s="93"/>
      <c r="R2" s="298">
        <f ca="1">H8</f>
        <v>46138</v>
      </c>
      <c r="S2" s="299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1"/>
      <c r="H3" s="26"/>
      <c r="J3" s="59"/>
      <c r="N3" s="94"/>
      <c r="R3" s="299"/>
      <c r="S3" s="299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2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303"/>
      <c r="S6" s="303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303"/>
      <c r="S7" s="303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46138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7" t="str">
        <f t="shared" ref="K9:K22" ca="1" si="0">IF(AND($J9&gt;=$B$2,($J9-1)*4+K$1&lt;=4*$C$2),VLOOKUP(($J9-1)*4+K$1,$C$5:$E$59,3,0),"")</f>
        <v/>
      </c>
      <c r="L9" s="297"/>
      <c r="M9" s="297" t="str">
        <f t="shared" ref="M9:M22" ca="1" si="1">IF(AND($J9&gt;=$B$2,($J9-1)*4+M$1&lt;=4*$C$2),VLOOKUP(($J9-1)*4+M$1,$C$5:$E$59,3,0),"")</f>
        <v/>
      </c>
      <c r="N9" s="297"/>
      <c r="O9" s="100" t="str">
        <f>"T "&amp;J9</f>
        <v>T 1</v>
      </c>
      <c r="P9" s="297" t="str">
        <f t="shared" ref="P9:P22" ca="1" si="2">IF(AND($J9&gt;=$B$2,($J9-1)*4+P$1&lt;=4*$C$2),VLOOKUP(($J9-1)*4+P$1,$C$5:$E$59,3,0),"")</f>
        <v/>
      </c>
      <c r="Q9" s="297"/>
      <c r="R9" s="297" t="str">
        <f t="shared" ref="R9:R22" ca="1" si="3">IF(AND($J9&gt;=$B$2,($J9-1)*4+R$1&lt;=4*$C$2),VLOOKUP(($J9-1)*4+R$1,$C$5:$E$59,3,0),"")</f>
        <v/>
      </c>
      <c r="S9" s="297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7" t="str">
        <f t="shared" ca="1" si="0"/>
        <v/>
      </c>
      <c r="L10" s="297"/>
      <c r="M10" s="297" t="str">
        <f t="shared" ca="1" si="1"/>
        <v/>
      </c>
      <c r="N10" s="297"/>
      <c r="O10" s="100" t="str">
        <f t="shared" ref="O10:O20" si="4">"T "&amp;J10</f>
        <v>T 2</v>
      </c>
      <c r="P10" s="297" t="str">
        <f t="shared" ca="1" si="2"/>
        <v/>
      </c>
      <c r="Q10" s="297"/>
      <c r="R10" s="297" t="str">
        <f t="shared" ca="1" si="3"/>
        <v/>
      </c>
      <c r="S10" s="297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7" t="str">
        <f t="shared" ca="1" si="0"/>
        <v/>
      </c>
      <c r="L11" s="297"/>
      <c r="M11" s="297" t="str">
        <f t="shared" ca="1" si="1"/>
        <v/>
      </c>
      <c r="N11" s="297"/>
      <c r="O11" s="100" t="str">
        <f t="shared" si="4"/>
        <v>T 3</v>
      </c>
      <c r="P11" s="297" t="str">
        <f t="shared" ca="1" si="2"/>
        <v/>
      </c>
      <c r="Q11" s="297"/>
      <c r="R11" s="297" t="str">
        <f t="shared" ca="1" si="3"/>
        <v/>
      </c>
      <c r="S11" s="297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7" t="str">
        <f t="shared" ca="1" si="0"/>
        <v/>
      </c>
      <c r="L12" s="297"/>
      <c r="M12" s="297" t="str">
        <f t="shared" ca="1" si="1"/>
        <v/>
      </c>
      <c r="N12" s="297"/>
      <c r="O12" s="100" t="str">
        <f t="shared" si="4"/>
        <v>T 4</v>
      </c>
      <c r="P12" s="297" t="str">
        <f t="shared" ca="1" si="2"/>
        <v/>
      </c>
      <c r="Q12" s="297"/>
      <c r="R12" s="297" t="str">
        <f t="shared" ca="1" si="3"/>
        <v/>
      </c>
      <c r="S12" s="297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7" t="str">
        <f t="shared" ca="1" si="0"/>
        <v/>
      </c>
      <c r="L13" s="297"/>
      <c r="M13" s="297" t="str">
        <f t="shared" ca="1" si="1"/>
        <v/>
      </c>
      <c r="N13" s="297"/>
      <c r="O13" s="100" t="str">
        <f t="shared" si="4"/>
        <v>T 5</v>
      </c>
      <c r="P13" s="297" t="str">
        <f t="shared" ca="1" si="2"/>
        <v/>
      </c>
      <c r="Q13" s="297"/>
      <c r="R13" s="297" t="str">
        <f t="shared" ca="1" si="3"/>
        <v/>
      </c>
      <c r="S13" s="297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7" t="str">
        <f t="shared" ca="1" si="0"/>
        <v/>
      </c>
      <c r="L14" s="297"/>
      <c r="M14" s="297" t="str">
        <f t="shared" ca="1" si="1"/>
        <v/>
      </c>
      <c r="N14" s="297"/>
      <c r="O14" s="100" t="str">
        <f t="shared" si="4"/>
        <v>T 6</v>
      </c>
      <c r="P14" s="297" t="str">
        <f t="shared" ca="1" si="2"/>
        <v/>
      </c>
      <c r="Q14" s="297"/>
      <c r="R14" s="297" t="str">
        <f t="shared" ca="1" si="3"/>
        <v/>
      </c>
      <c r="S14" s="297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7" t="str">
        <f t="shared" ca="1" si="0"/>
        <v/>
      </c>
      <c r="L15" s="297"/>
      <c r="M15" s="297" t="str">
        <f t="shared" ca="1" si="1"/>
        <v/>
      </c>
      <c r="N15" s="297"/>
      <c r="O15" s="100" t="str">
        <f t="shared" si="4"/>
        <v>T 7</v>
      </c>
      <c r="P15" s="297" t="str">
        <f t="shared" ca="1" si="2"/>
        <v/>
      </c>
      <c r="Q15" s="297"/>
      <c r="R15" s="297" t="str">
        <f t="shared" ca="1" si="3"/>
        <v/>
      </c>
      <c r="S15" s="297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7" t="str">
        <f t="shared" ca="1" si="0"/>
        <v/>
      </c>
      <c r="L16" s="297"/>
      <c r="M16" s="297" t="str">
        <f t="shared" ca="1" si="1"/>
        <v/>
      </c>
      <c r="N16" s="297"/>
      <c r="O16" s="100" t="str">
        <f t="shared" si="4"/>
        <v>T 8</v>
      </c>
      <c r="P16" s="297" t="str">
        <f t="shared" ca="1" si="2"/>
        <v/>
      </c>
      <c r="Q16" s="297"/>
      <c r="R16" s="297" t="str">
        <f t="shared" ca="1" si="3"/>
        <v/>
      </c>
      <c r="S16" s="297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7" t="str">
        <f t="shared" ca="1" si="0"/>
        <v/>
      </c>
      <c r="L17" s="297"/>
      <c r="M17" s="297" t="str">
        <f t="shared" ca="1" si="1"/>
        <v/>
      </c>
      <c r="N17" s="297"/>
      <c r="O17" s="100" t="str">
        <f t="shared" si="4"/>
        <v>T 9</v>
      </c>
      <c r="P17" s="297" t="str">
        <f t="shared" ca="1" si="2"/>
        <v/>
      </c>
      <c r="Q17" s="297"/>
      <c r="R17" s="297" t="str">
        <f t="shared" ca="1" si="3"/>
        <v/>
      </c>
      <c r="S17" s="297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7" t="str">
        <f t="shared" ca="1" si="0"/>
        <v/>
      </c>
      <c r="L18" s="297"/>
      <c r="M18" s="297" t="str">
        <f t="shared" ca="1" si="1"/>
        <v/>
      </c>
      <c r="N18" s="297"/>
      <c r="O18" s="100" t="str">
        <f t="shared" si="4"/>
        <v>T 10</v>
      </c>
      <c r="P18" s="297" t="str">
        <f t="shared" ca="1" si="2"/>
        <v/>
      </c>
      <c r="Q18" s="297"/>
      <c r="R18" s="297" t="str">
        <f t="shared" ca="1" si="3"/>
        <v/>
      </c>
      <c r="S18" s="297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7" t="str">
        <f t="shared" ca="1" si="0"/>
        <v/>
      </c>
      <c r="L19" s="297"/>
      <c r="M19" s="297" t="str">
        <f t="shared" ca="1" si="1"/>
        <v/>
      </c>
      <c r="N19" s="297"/>
      <c r="O19" s="100" t="str">
        <f t="shared" si="4"/>
        <v>T 11</v>
      </c>
      <c r="P19" s="297" t="str">
        <f t="shared" ca="1" si="2"/>
        <v/>
      </c>
      <c r="Q19" s="297"/>
      <c r="R19" s="297" t="str">
        <f t="shared" ca="1" si="3"/>
        <v/>
      </c>
      <c r="S19" s="297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7" t="str">
        <f t="shared" ca="1" si="0"/>
        <v/>
      </c>
      <c r="L20" s="297"/>
      <c r="M20" s="297" t="str">
        <f t="shared" ca="1" si="1"/>
        <v/>
      </c>
      <c r="N20" s="297"/>
      <c r="O20" s="100" t="str">
        <f t="shared" si="4"/>
        <v>T 12</v>
      </c>
      <c r="P20" s="297" t="str">
        <f t="shared" ca="1" si="2"/>
        <v/>
      </c>
      <c r="Q20" s="297"/>
      <c r="R20" s="297" t="str">
        <f t="shared" ca="1" si="3"/>
        <v/>
      </c>
      <c r="S20" s="297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7" t="str">
        <f t="shared" ca="1" si="0"/>
        <v/>
      </c>
      <c r="L21" s="297"/>
      <c r="M21" s="297" t="str">
        <f t="shared" ca="1" si="1"/>
        <v/>
      </c>
      <c r="N21" s="297"/>
      <c r="O21" s="100" t="str">
        <f>"T "&amp;J21</f>
        <v>T 13</v>
      </c>
      <c r="P21" s="297" t="str">
        <f t="shared" ca="1" si="2"/>
        <v/>
      </c>
      <c r="Q21" s="297"/>
      <c r="R21" s="297" t="str">
        <f t="shared" ca="1" si="3"/>
        <v/>
      </c>
      <c r="S21" s="297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7" t="str">
        <f t="shared" ca="1" si="0"/>
        <v/>
      </c>
      <c r="L22" s="297"/>
      <c r="M22" s="297" t="str">
        <f t="shared" ca="1" si="1"/>
        <v/>
      </c>
      <c r="N22" s="297"/>
      <c r="O22" s="100" t="str">
        <f>"T "&amp;J22</f>
        <v>T 14</v>
      </c>
      <c r="P22" s="297" t="str">
        <f t="shared" ca="1" si="2"/>
        <v/>
      </c>
      <c r="Q22" s="297"/>
      <c r="R22" s="297" t="str">
        <f t="shared" ca="1" si="3"/>
        <v/>
      </c>
      <c r="S22" s="297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46138</v>
      </c>
      <c r="S29" s="110">
        <f ca="1">$R$2</f>
        <v>46138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46138</v>
      </c>
      <c r="O36" s="103"/>
      <c r="P36" s="103"/>
      <c r="Q36" s="103"/>
      <c r="R36" s="104"/>
      <c r="S36" s="110">
        <f ca="1">S29</f>
        <v>46138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46138</v>
      </c>
      <c r="O43" s="103"/>
      <c r="P43" s="103"/>
      <c r="Q43" s="103"/>
      <c r="R43" s="104"/>
      <c r="S43" s="110">
        <f ca="1">S36</f>
        <v>46138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46138</v>
      </c>
      <c r="O50" s="105"/>
      <c r="P50" s="105"/>
      <c r="Q50" s="105"/>
      <c r="R50" s="106"/>
      <c r="S50" s="110">
        <f ca="1">S43</f>
        <v>46138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46138</v>
      </c>
      <c r="O57" s="105"/>
      <c r="P57" s="105"/>
      <c r="Q57" s="105"/>
      <c r="R57" s="106"/>
      <c r="S57" s="110">
        <f ca="1">S50</f>
        <v>46138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46138</v>
      </c>
      <c r="O64" s="105"/>
      <c r="P64" s="105"/>
      <c r="Q64" s="105"/>
      <c r="R64" s="106"/>
      <c r="S64" s="110">
        <f ca="1">S57</f>
        <v>46138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46138</v>
      </c>
      <c r="O71" s="105"/>
      <c r="P71" s="105"/>
      <c r="Q71" s="105"/>
      <c r="R71" s="106"/>
      <c r="S71" s="110">
        <f ca="1">S64</f>
        <v>46138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K16:L16"/>
    <mergeCell ref="M16:N16"/>
    <mergeCell ref="P16:Q16"/>
    <mergeCell ref="R20:S20"/>
    <mergeCell ref="P20:Q20"/>
    <mergeCell ref="K20:L20"/>
    <mergeCell ref="M20:N2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M13:N13"/>
    <mergeCell ref="R6:S6"/>
    <mergeCell ref="R7:S7"/>
    <mergeCell ref="K12:L12"/>
    <mergeCell ref="K10:L10"/>
    <mergeCell ref="M10:N10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sheetPr codeName="Blad11"/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46138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4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 t="str">
        <f>VLOOKUP(A19,AanwezigReserve!D:F,3,0)</f>
        <v>A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>
      <selection activeCell="K61" sqref="K61"/>
    </sheetView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P3" s="151">
        <v>0</v>
      </c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P4" s="151">
        <v>8</v>
      </c>
      <c r="U4" s="190">
        <f t="shared" ref="U4:U51" si="0">SUM(J4:S4)</f>
        <v>15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P5" s="151">
        <v>2</v>
      </c>
      <c r="U5" s="190">
        <f t="shared" si="0"/>
        <v>15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P6" s="151">
        <v>9</v>
      </c>
      <c r="U6" s="190">
        <f t="shared" si="0"/>
        <v>27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P7" s="151">
        <v>10</v>
      </c>
      <c r="U7" s="190">
        <f t="shared" si="0"/>
        <v>22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P8" s="151">
        <v>11</v>
      </c>
      <c r="U8" s="190">
        <f t="shared" si="0"/>
        <v>19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P9" s="151">
        <v>3</v>
      </c>
      <c r="U9" s="190">
        <f t="shared" si="0"/>
        <v>18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P10" s="151">
        <v>12</v>
      </c>
      <c r="U10" s="190">
        <f t="shared" si="0"/>
        <v>19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P11" s="151">
        <v>12</v>
      </c>
      <c r="U11" s="190">
        <f t="shared" si="0"/>
        <v>32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P12" s="151">
        <v>2</v>
      </c>
      <c r="U12" s="190">
        <f t="shared" si="0"/>
        <v>15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P13" s="151">
        <v>7</v>
      </c>
      <c r="U13" s="190">
        <f t="shared" si="0"/>
        <v>13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P14" s="151">
        <v>4</v>
      </c>
      <c r="U14" s="190">
        <f t="shared" si="0"/>
        <v>8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P15" s="151">
        <v>1</v>
      </c>
      <c r="U15" s="190">
        <f t="shared" si="0"/>
        <v>7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P16" s="151">
        <v>14</v>
      </c>
      <c r="U16" s="190">
        <f t="shared" si="0"/>
        <v>18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P17" s="151">
        <v>12</v>
      </c>
      <c r="U17" s="190">
        <f t="shared" si="0"/>
        <v>26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P18" s="151">
        <v>0</v>
      </c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P19" s="151">
        <v>9</v>
      </c>
      <c r="U19" s="190">
        <f t="shared" si="0"/>
        <v>17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P20" s="151">
        <v>0</v>
      </c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P21" s="151">
        <v>6</v>
      </c>
      <c r="U21" s="190">
        <f t="shared" si="0"/>
        <v>21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P22" s="151">
        <v>3</v>
      </c>
      <c r="U22" s="190">
        <f t="shared" si="0"/>
        <v>10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P23" s="151">
        <v>10</v>
      </c>
      <c r="U23" s="190">
        <f t="shared" si="0"/>
        <v>20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P24" s="151">
        <v>11</v>
      </c>
      <c r="U24" s="190">
        <f t="shared" si="0"/>
        <v>22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P25" s="151">
        <v>6</v>
      </c>
      <c r="U25" s="190">
        <f t="shared" si="0"/>
        <v>16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P26" s="151">
        <v>0</v>
      </c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P27" s="151">
        <v>7</v>
      </c>
      <c r="U27" s="190">
        <f t="shared" si="0"/>
        <v>16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P28" s="151">
        <v>6</v>
      </c>
      <c r="U28" s="190">
        <f t="shared" si="0"/>
        <v>13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P29" s="151">
        <v>10</v>
      </c>
      <c r="U29" s="190">
        <f t="shared" si="0"/>
        <v>16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P30" s="151">
        <v>3</v>
      </c>
      <c r="U30" s="190">
        <f t="shared" si="0"/>
        <v>3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P31" s="151">
        <v>0</v>
      </c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P32" s="151">
        <v>6</v>
      </c>
      <c r="U32" s="190">
        <f t="shared" si="0"/>
        <v>21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P33" s="151">
        <v>9</v>
      </c>
      <c r="U33" s="190">
        <f t="shared" si="0"/>
        <v>15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P34" s="151">
        <v>4</v>
      </c>
      <c r="U34" s="190">
        <f t="shared" si="0"/>
        <v>9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P35" s="151">
        <v>4</v>
      </c>
      <c r="U35" s="190">
        <f t="shared" si="0"/>
        <v>17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P36" s="151">
        <v>2</v>
      </c>
      <c r="U36" s="190">
        <f t="shared" si="0"/>
        <v>8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P37" s="151">
        <v>7</v>
      </c>
      <c r="U37" s="190">
        <f t="shared" si="0"/>
        <v>14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P38" s="151">
        <v>0</v>
      </c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P39" s="151">
        <v>5</v>
      </c>
      <c r="U39" s="190">
        <f t="shared" si="0"/>
        <v>11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P40" s="151">
        <v>12</v>
      </c>
      <c r="U40" s="190">
        <f t="shared" si="0"/>
        <v>14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P41" s="151">
        <v>5</v>
      </c>
      <c r="U41" s="190">
        <f t="shared" si="0"/>
        <v>12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P42" s="151">
        <v>2</v>
      </c>
      <c r="U42" s="190">
        <f t="shared" si="0"/>
        <v>7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P43" s="151">
        <v>9</v>
      </c>
      <c r="U43" s="190">
        <f t="shared" si="0"/>
        <v>19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P44" s="151">
        <v>13</v>
      </c>
      <c r="U44" s="190">
        <f t="shared" si="0"/>
        <v>32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P45" s="151">
        <v>8</v>
      </c>
      <c r="U45" s="190">
        <f t="shared" si="0"/>
        <v>26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P46" s="151">
        <v>0</v>
      </c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P47" s="151">
        <v>0</v>
      </c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P48" s="151">
        <v>9</v>
      </c>
      <c r="U48" s="190">
        <f t="shared" si="0"/>
        <v>17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P49" s="151">
        <v>3</v>
      </c>
      <c r="U49" s="190">
        <f t="shared" si="0"/>
        <v>6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>
        <v>276</v>
      </c>
      <c r="Q51" s="230"/>
      <c r="R51" s="230"/>
      <c r="S51" s="230"/>
      <c r="T51" s="230"/>
      <c r="U51" s="232">
        <f t="shared" si="0"/>
        <v>698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55.2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139.60000000000002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6"/>
  <sheetViews>
    <sheetView topLeftCell="A38" workbookViewId="0">
      <selection activeCell="A56" sqref="A56"/>
    </sheetView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  <row r="55" spans="1:4">
      <c r="A55" s="272" t="str">
        <f>AanwezigReserve!D56</f>
        <v xml:space="preserve"> </v>
      </c>
      <c r="B55" s="273"/>
      <c r="C55" s="277"/>
      <c r="D55" s="277"/>
    </row>
    <row r="56" spans="1:4">
      <c r="A56" s="272"/>
      <c r="B56" s="273"/>
      <c r="C56" s="277"/>
      <c r="D56" s="277"/>
    </row>
  </sheetData>
  <phoneticPr fontId="53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2026-04-25T18:45:55Z</cp:lastPrinted>
  <dcterms:created xsi:type="dcterms:W3CDTF">2006-07-10T11:49:33Z</dcterms:created>
  <dcterms:modified xsi:type="dcterms:W3CDTF">2026-04-26T07:46:23Z</dcterms:modified>
</cp:coreProperties>
</file>