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ropbox\THE WHISKIES\klassement\"/>
    </mc:Choice>
  </mc:AlternateContent>
  <xr:revisionPtr revIDLastSave="0" documentId="13_ncr:1_{D9E0556E-716A-49FC-AD40-9C8905E4D48E}" xr6:coauthVersionLast="47" xr6:coauthVersionMax="47" xr10:uidLastSave="{00000000-0000-0000-0000-000000000000}"/>
  <bookViews>
    <workbookView xWindow="8835" yWindow="-14460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<sst xmlns="http://schemas.openxmlformats.org/spreadsheetml/2006/main" count="794" uniqueCount="299">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</sst>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>
      <selection activeCell="B25" sqref="B25"/>
    </sheetView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152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>
        <v>3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>
        <v>4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4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>
        <v>4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4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>
        <v>4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>
        <v>3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3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>
        <v>4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>
        <v>4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>
        <v>4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>
        <v>3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>
        <v>4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>
        <v>3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4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>
        <v>4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4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>
        <v>4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>
        <v>4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>
        <v>4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>
        <v>4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>
        <v>4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>
        <v>3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>
        <v>3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>
        <v>4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>
        <v>3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>
        <v>4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>
        <v>4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>
        <v>3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4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>
        <v>4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>
        <v>4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>
        <v>3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>
        <v>4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>
        <v>4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>
        <v>4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>
        <v>4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>
        <v>4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>
        <v>4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>
        <v>4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>
        <v>2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5" t="s">
        <v>297</v>
      </c>
      <c r="C1" s="296"/>
      <c r="D1" s="222"/>
      <c r="E1" s="28" t="s">
        <v>6</v>
      </c>
      <c r="F1" s="29">
        <v>5</v>
      </c>
      <c r="G1" s="300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1"/>
      <c r="H2" s="3"/>
      <c r="J2" s="59"/>
      <c r="M2" s="93"/>
      <c r="R2" s="298">
        <f ca="1">H8</f>
        <v>46107</v>
      </c>
      <c r="S2" s="299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1"/>
      <c r="H3" s="26"/>
      <c r="J3" s="59"/>
      <c r="N3" s="94"/>
      <c r="R3" s="299"/>
      <c r="S3" s="299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2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303"/>
      <c r="S6" s="303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303"/>
      <c r="S7" s="303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7" t="str">
        <f t="shared" ref="K9:K22" ca="1" si="0">IF(AND($J9&gt;=$B$2,($J9-1)*4+K$1&lt;=4*$C$2),VLOOKUP(($J9-1)*4+K$1,$C$5:$E$59,3,0),"")</f>
        <v/>
      </c>
      <c r="L9" s="297"/>
      <c r="M9" s="297" t="str">
        <f t="shared" ref="M9:M22" ca="1" si="1">IF(AND($J9&gt;=$B$2,($J9-1)*4+M$1&lt;=4*$C$2),VLOOKUP(($J9-1)*4+M$1,$C$5:$E$59,3,0),"")</f>
        <v/>
      </c>
      <c r="N9" s="297"/>
      <c r="O9" s="100" t="str">
        <f>"T "&amp;J9</f>
        <v>T 1</v>
      </c>
      <c r="P9" s="297" t="str">
        <f t="shared" ref="P9:P22" ca="1" si="2">IF(AND($J9&gt;=$B$2,($J9-1)*4+P$1&lt;=4*$C$2),VLOOKUP(($J9-1)*4+P$1,$C$5:$E$59,3,0),"")</f>
        <v/>
      </c>
      <c r="Q9" s="297"/>
      <c r="R9" s="297" t="str">
        <f t="shared" ref="R9:R22" ca="1" si="3">IF(AND($J9&gt;=$B$2,($J9-1)*4+R$1&lt;=4*$C$2),VLOOKUP(($J9-1)*4+R$1,$C$5:$E$59,3,0),"")</f>
        <v/>
      </c>
      <c r="S9" s="297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7" t="str">
        <f t="shared" ca="1" si="0"/>
        <v/>
      </c>
      <c r="L10" s="297"/>
      <c r="M10" s="297" t="str">
        <f t="shared" ca="1" si="1"/>
        <v/>
      </c>
      <c r="N10" s="297"/>
      <c r="O10" s="100" t="str">
        <f t="shared" ref="O10:O20" si="4">"T "&amp;J10</f>
        <v>T 2</v>
      </c>
      <c r="P10" s="297" t="str">
        <f t="shared" ca="1" si="2"/>
        <v/>
      </c>
      <c r="Q10" s="297"/>
      <c r="R10" s="297" t="str">
        <f t="shared" ca="1" si="3"/>
        <v/>
      </c>
      <c r="S10" s="297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7" t="str">
        <f t="shared" ca="1" si="0"/>
        <v/>
      </c>
      <c r="L11" s="297"/>
      <c r="M11" s="297" t="str">
        <f t="shared" ca="1" si="1"/>
        <v/>
      </c>
      <c r="N11" s="297"/>
      <c r="O11" s="100" t="str">
        <f t="shared" si="4"/>
        <v>T 3</v>
      </c>
      <c r="P11" s="297" t="str">
        <f t="shared" ca="1" si="2"/>
        <v/>
      </c>
      <c r="Q11" s="297"/>
      <c r="R11" s="297" t="str">
        <f t="shared" ca="1" si="3"/>
        <v/>
      </c>
      <c r="S11" s="297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7" t="str">
        <f t="shared" ca="1" si="0"/>
        <v/>
      </c>
      <c r="L12" s="297"/>
      <c r="M12" s="297" t="str">
        <f t="shared" ca="1" si="1"/>
        <v/>
      </c>
      <c r="N12" s="297"/>
      <c r="O12" s="100" t="str">
        <f t="shared" si="4"/>
        <v>T 4</v>
      </c>
      <c r="P12" s="297" t="str">
        <f t="shared" ca="1" si="2"/>
        <v/>
      </c>
      <c r="Q12" s="297"/>
      <c r="R12" s="297" t="str">
        <f t="shared" ca="1" si="3"/>
        <v/>
      </c>
      <c r="S12" s="297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7" t="str">
        <f t="shared" ca="1" si="0"/>
        <v/>
      </c>
      <c r="L13" s="297"/>
      <c r="M13" s="297" t="str">
        <f t="shared" ca="1" si="1"/>
        <v/>
      </c>
      <c r="N13" s="297"/>
      <c r="O13" s="100" t="str">
        <f t="shared" si="4"/>
        <v>T 5</v>
      </c>
      <c r="P13" s="297" t="str">
        <f t="shared" ca="1" si="2"/>
        <v/>
      </c>
      <c r="Q13" s="297"/>
      <c r="R13" s="297" t="str">
        <f t="shared" ca="1" si="3"/>
        <v/>
      </c>
      <c r="S13" s="297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7" t="str">
        <f t="shared" ca="1" si="0"/>
        <v/>
      </c>
      <c r="L14" s="297"/>
      <c r="M14" s="297" t="str">
        <f t="shared" ca="1" si="1"/>
        <v/>
      </c>
      <c r="N14" s="297"/>
      <c r="O14" s="100" t="str">
        <f t="shared" si="4"/>
        <v>T 6</v>
      </c>
      <c r="P14" s="297" t="str">
        <f t="shared" ca="1" si="2"/>
        <v/>
      </c>
      <c r="Q14" s="297"/>
      <c r="R14" s="297" t="str">
        <f t="shared" ca="1" si="3"/>
        <v/>
      </c>
      <c r="S14" s="297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7" t="str">
        <f t="shared" ca="1" si="0"/>
        <v/>
      </c>
      <c r="L15" s="297"/>
      <c r="M15" s="297" t="str">
        <f t="shared" ca="1" si="1"/>
        <v/>
      </c>
      <c r="N15" s="297"/>
      <c r="O15" s="100" t="str">
        <f t="shared" si="4"/>
        <v>T 7</v>
      </c>
      <c r="P15" s="297" t="str">
        <f t="shared" ca="1" si="2"/>
        <v/>
      </c>
      <c r="Q15" s="297"/>
      <c r="R15" s="297" t="str">
        <f t="shared" ca="1" si="3"/>
        <v/>
      </c>
      <c r="S15" s="297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7" t="str">
        <f t="shared" ca="1" si="0"/>
        <v/>
      </c>
      <c r="L16" s="297"/>
      <c r="M16" s="297" t="str">
        <f t="shared" ca="1" si="1"/>
        <v/>
      </c>
      <c r="N16" s="297"/>
      <c r="O16" s="100" t="str">
        <f t="shared" si="4"/>
        <v>T 8</v>
      </c>
      <c r="P16" s="297" t="str">
        <f t="shared" ca="1" si="2"/>
        <v/>
      </c>
      <c r="Q16" s="297"/>
      <c r="R16" s="297" t="str">
        <f t="shared" ca="1" si="3"/>
        <v/>
      </c>
      <c r="S16" s="297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7" t="str">
        <f t="shared" ca="1" si="0"/>
        <v/>
      </c>
      <c r="L17" s="297"/>
      <c r="M17" s="297" t="str">
        <f t="shared" ca="1" si="1"/>
        <v/>
      </c>
      <c r="N17" s="297"/>
      <c r="O17" s="100" t="str">
        <f t="shared" si="4"/>
        <v>T 9</v>
      </c>
      <c r="P17" s="297" t="str">
        <f t="shared" ca="1" si="2"/>
        <v/>
      </c>
      <c r="Q17" s="297"/>
      <c r="R17" s="297" t="str">
        <f t="shared" ca="1" si="3"/>
        <v/>
      </c>
      <c r="S17" s="297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7" t="str">
        <f t="shared" ca="1" si="0"/>
        <v/>
      </c>
      <c r="L18" s="297"/>
      <c r="M18" s="297" t="str">
        <f t="shared" ca="1" si="1"/>
        <v/>
      </c>
      <c r="N18" s="297"/>
      <c r="O18" s="100" t="str">
        <f t="shared" si="4"/>
        <v>T 10</v>
      </c>
      <c r="P18" s="297" t="str">
        <f t="shared" ca="1" si="2"/>
        <v/>
      </c>
      <c r="Q18" s="297"/>
      <c r="R18" s="297" t="str">
        <f t="shared" ca="1" si="3"/>
        <v/>
      </c>
      <c r="S18" s="297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7" t="str">
        <f t="shared" ca="1" si="0"/>
        <v/>
      </c>
      <c r="L19" s="297"/>
      <c r="M19" s="297" t="str">
        <f t="shared" ca="1" si="1"/>
        <v/>
      </c>
      <c r="N19" s="297"/>
      <c r="O19" s="100" t="str">
        <f t="shared" si="4"/>
        <v>T 11</v>
      </c>
      <c r="P19" s="297" t="str">
        <f t="shared" ca="1" si="2"/>
        <v/>
      </c>
      <c r="Q19" s="297"/>
      <c r="R19" s="297" t="str">
        <f t="shared" ca="1" si="3"/>
        <v/>
      </c>
      <c r="S19" s="297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7" t="str">
        <f t="shared" ca="1" si="0"/>
        <v/>
      </c>
      <c r="L20" s="297"/>
      <c r="M20" s="297" t="str">
        <f t="shared" ca="1" si="1"/>
        <v/>
      </c>
      <c r="N20" s="297"/>
      <c r="O20" s="100" t="str">
        <f t="shared" si="4"/>
        <v>T 12</v>
      </c>
      <c r="P20" s="297" t="str">
        <f t="shared" ca="1" si="2"/>
        <v/>
      </c>
      <c r="Q20" s="297"/>
      <c r="R20" s="297" t="str">
        <f t="shared" ca="1" si="3"/>
        <v/>
      </c>
      <c r="S20" s="297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7" t="str">
        <f t="shared" ca="1" si="0"/>
        <v/>
      </c>
      <c r="L21" s="297"/>
      <c r="M21" s="297" t="str">
        <f t="shared" ca="1" si="1"/>
        <v/>
      </c>
      <c r="N21" s="297"/>
      <c r="O21" s="100" t="str">
        <f>"T "&amp;J21</f>
        <v>T 13</v>
      </c>
      <c r="P21" s="297" t="str">
        <f t="shared" ca="1" si="2"/>
        <v/>
      </c>
      <c r="Q21" s="297"/>
      <c r="R21" s="297" t="str">
        <f t="shared" ca="1" si="3"/>
        <v/>
      </c>
      <c r="S21" s="297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7" t="str">
        <f t="shared" ca="1" si="0"/>
        <v/>
      </c>
      <c r="L22" s="297"/>
      <c r="M22" s="297" t="str">
        <f t="shared" ca="1" si="1"/>
        <v/>
      </c>
      <c r="N22" s="297"/>
      <c r="O22" s="100" t="str">
        <f>"T "&amp;J22</f>
        <v>T 14</v>
      </c>
      <c r="P22" s="297" t="str">
        <f t="shared" ca="1" si="2"/>
        <v/>
      </c>
      <c r="Q22" s="297"/>
      <c r="R22" s="297" t="str">
        <f t="shared" ca="1" si="3"/>
        <v/>
      </c>
      <c r="S22" s="297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>
        <f>VLOOKUP(A4,AanwezigReserve!D:F,3,0)</f>
        <v>3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>
        <f>VLOOKUP(A5,AanwezigReserve!D:F,3,0)</f>
        <v>4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4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>
        <f>VLOOKUP(A7,AanwezigReserve!D:F,3,0)</f>
        <v>4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4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>
        <f>VLOOKUP(A9,AanwezigReserve!D:F,3,0)</f>
        <v>4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>
        <f>VLOOKUP(A10,AanwezigReserve!D:F,3,0)</f>
        <v>3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3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>
        <f>VLOOKUP(A12,AanwezigReserve!D:F,3,0)</f>
        <v>4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>
        <f>VLOOKUP(A13,AanwezigReserve!D:F,3,0)</f>
        <v>4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>
        <f>VLOOKUP(A14,AanwezigReserve!D:F,3,0)</f>
        <v>4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>
        <f>VLOOKUP(A15,AanwezigReserve!D:F,3,0)</f>
        <v>3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>
        <f>VLOOKUP(A16,AanwezigReserve!D:F,3,0)</f>
        <v>4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>
        <f>VLOOKUP(A17,AanwezigReserve!D:F,3,0)</f>
        <v>3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4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>
        <f>VLOOKUP(A21,AanwezigReserve!D:F,3,0)</f>
        <v>4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4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>
        <f>VLOOKUP(A23,AanwezigReserve!D:F,3,0)</f>
        <v>4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>
        <f>VLOOKUP(A24,AanwezigReserve!D:F,3,0)</f>
        <v>4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>
        <f>VLOOKUP(A25,AanwezigReserve!D:F,3,0)</f>
        <v>4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>
        <f>VLOOKUP(A27,AanwezigReserve!D:F,3,0)</f>
        <v>4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>
        <f>VLOOKUP(A28,AanwezigReserve!D:F,3,0)</f>
        <v>4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>
        <f>VLOOKUP(A29,AanwezigReserve!D:F,3,0)</f>
        <v>3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>
        <f>VLOOKUP(A30,AanwezigReserve!D:F,3,0)</f>
        <v>3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>
        <f>VLOOKUP(A32,AanwezigReserve!D:F,3,0)</f>
        <v>4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>
        <f>VLOOKUP(A33,AanwezigReserve!D:F,3,0)</f>
        <v>3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>
        <f>VLOOKUP(A34,AanwezigReserve!D:F,3,0)</f>
        <v>4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>
        <f>VLOOKUP(A35,AanwezigReserve!D:F,3,0)</f>
        <v>4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>
        <f>VLOOKUP(A36,AanwezigReserve!D:F,3,0)</f>
        <v>3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4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>
        <f>VLOOKUP(A39,AanwezigReserve!D:F,3,0)</f>
        <v>4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>
        <f>VLOOKUP(A40,AanwezigReserve!D:F,3,0)</f>
        <v>4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>
        <f>VLOOKUP(A41,AanwezigReserve!D:F,3,0)</f>
        <v>3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>
        <f>VLOOKUP(A42,AanwezigReserve!D:F,3,0)</f>
        <v>4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>
        <f>VLOOKUP(A43,AanwezigReserve!D:F,3,0)</f>
        <v>4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>
        <f>VLOOKUP(A44,AanwezigReserve!D:F,3,0)</f>
        <v>4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>
        <f>VLOOKUP(A45,AanwezigReserve!D:F,3,0)</f>
        <v>4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>
        <f>VLOOKUP(A48,AanwezigReserve!D:F,3,0)</f>
        <v>4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>
        <f>VLOOKUP(A49,AanwezigReserve!D:F,3,0)</f>
        <v>4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>
        <f>VLOOKUP(A50,AanwezigReserve!D:F,3,0)</f>
        <v>4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2026-03-26T09:41:23Z</dcterms:modified>
</cp:coreProperties>
</file>