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en\THE WHISKIES TEST\klassement\"/>
    </mc:Choice>
  </mc:AlternateContent>
  <xr:revisionPtr revIDLastSave="0" documentId="13_ncr:1_{12139BBC-A5E6-4C88-810E-D12840448997}" xr6:coauthVersionLast="47" xr6:coauthVersionMax="47" xr10:uidLastSave="{00000000-0000-0000-0000-000000000000}"/>
  <bookViews>
    <workbookView xWindow="-120" yWindow="-120" windowWidth="24240" windowHeight="1302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1" l="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<sst xmlns="http://schemas.openxmlformats.org/spreadsheetml/2006/main" count="825" uniqueCount="299">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</sst>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28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>
        <v>3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>
        <v>3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>
        <v>2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 t="s">
        <v>116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>
        <v>2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>
        <v>2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>
        <v>3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>
        <v>3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 t="s">
        <v>116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>
        <v>3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>
        <v>3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>
        <v>4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46107</v>
      </c>
      <c r="I1" s="79">
        <f ca="1">Loting!$R$2</f>
        <v>46107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46107</v>
      </c>
      <c r="I9" s="79">
        <f ca="1">Loting!$R$2</f>
        <v>46107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46107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46107</v>
      </c>
      <c r="I25" s="79">
        <f ca="1">Loting!$R$2</f>
        <v>46107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46107</v>
      </c>
      <c r="I33" s="79">
        <f ca="1">Loting!$R$2</f>
        <v>46107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46107</v>
      </c>
      <c r="I41" s="79">
        <f ca="1">Loting!$R$2</f>
        <v>46107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3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7" t="s">
        <v>297</v>
      </c>
      <c r="C1" s="298"/>
      <c r="D1" s="222"/>
      <c r="E1" s="28" t="s">
        <v>6</v>
      </c>
      <c r="F1" s="29">
        <v>5</v>
      </c>
      <c r="G1" s="301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2"/>
      <c r="H2" s="3"/>
      <c r="J2" s="59"/>
      <c r="M2" s="93"/>
      <c r="R2" s="299">
        <f ca="1">H8</f>
        <v>46107</v>
      </c>
      <c r="S2" s="300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2"/>
      <c r="H3" s="26"/>
      <c r="J3" s="59"/>
      <c r="N3" s="94"/>
      <c r="R3" s="300"/>
      <c r="S3" s="300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3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6"/>
      <c r="S6" s="296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6"/>
      <c r="S7" s="296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46107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5" t="str">
        <f t="shared" ref="K9:K22" ca="1" si="0">IF(AND($J9&gt;=$B$2,($J9-1)*4+K$1&lt;=4*$C$2),VLOOKUP(($J9-1)*4+K$1,$C$5:$E$59,3,0),"")</f>
        <v/>
      </c>
      <c r="L9" s="295"/>
      <c r="M9" s="295" t="str">
        <f t="shared" ref="M9:M22" ca="1" si="1">IF(AND($J9&gt;=$B$2,($J9-1)*4+M$1&lt;=4*$C$2),VLOOKUP(($J9-1)*4+M$1,$C$5:$E$59,3,0),"")</f>
        <v/>
      </c>
      <c r="N9" s="295"/>
      <c r="O9" s="100" t="str">
        <f>"T "&amp;J9</f>
        <v>T 1</v>
      </c>
      <c r="P9" s="295" t="str">
        <f t="shared" ref="P9:P22" ca="1" si="2">IF(AND($J9&gt;=$B$2,($J9-1)*4+P$1&lt;=4*$C$2),VLOOKUP(($J9-1)*4+P$1,$C$5:$E$59,3,0),"")</f>
        <v/>
      </c>
      <c r="Q9" s="295"/>
      <c r="R9" s="295" t="str">
        <f t="shared" ref="R9:R22" ca="1" si="3">IF(AND($J9&gt;=$B$2,($J9-1)*4+R$1&lt;=4*$C$2),VLOOKUP(($J9-1)*4+R$1,$C$5:$E$59,3,0),"")</f>
        <v/>
      </c>
      <c r="S9" s="295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5" t="str">
        <f t="shared" ca="1" si="0"/>
        <v/>
      </c>
      <c r="L10" s="295"/>
      <c r="M10" s="295" t="str">
        <f t="shared" ca="1" si="1"/>
        <v/>
      </c>
      <c r="N10" s="295"/>
      <c r="O10" s="100" t="str">
        <f t="shared" ref="O10:O20" si="4">"T "&amp;J10</f>
        <v>T 2</v>
      </c>
      <c r="P10" s="295" t="str">
        <f t="shared" ca="1" si="2"/>
        <v/>
      </c>
      <c r="Q10" s="295"/>
      <c r="R10" s="295" t="str">
        <f t="shared" ca="1" si="3"/>
        <v/>
      </c>
      <c r="S10" s="295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5" t="str">
        <f t="shared" ca="1" si="0"/>
        <v/>
      </c>
      <c r="L11" s="295"/>
      <c r="M11" s="295" t="str">
        <f t="shared" ca="1" si="1"/>
        <v/>
      </c>
      <c r="N11" s="295"/>
      <c r="O11" s="100" t="str">
        <f t="shared" si="4"/>
        <v>T 3</v>
      </c>
      <c r="P11" s="295" t="str">
        <f t="shared" ca="1" si="2"/>
        <v/>
      </c>
      <c r="Q11" s="295"/>
      <c r="R11" s="295" t="str">
        <f t="shared" ca="1" si="3"/>
        <v/>
      </c>
      <c r="S11" s="295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5" t="str">
        <f t="shared" ca="1" si="0"/>
        <v/>
      </c>
      <c r="L12" s="295"/>
      <c r="M12" s="295" t="str">
        <f t="shared" ca="1" si="1"/>
        <v/>
      </c>
      <c r="N12" s="295"/>
      <c r="O12" s="100" t="str">
        <f t="shared" si="4"/>
        <v>T 4</v>
      </c>
      <c r="P12" s="295" t="str">
        <f t="shared" ca="1" si="2"/>
        <v/>
      </c>
      <c r="Q12" s="295"/>
      <c r="R12" s="295" t="str">
        <f t="shared" ca="1" si="3"/>
        <v/>
      </c>
      <c r="S12" s="295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5" t="str">
        <f t="shared" ca="1" si="0"/>
        <v/>
      </c>
      <c r="L13" s="295"/>
      <c r="M13" s="295" t="str">
        <f t="shared" ca="1" si="1"/>
        <v/>
      </c>
      <c r="N13" s="295"/>
      <c r="O13" s="100" t="str">
        <f t="shared" si="4"/>
        <v>T 5</v>
      </c>
      <c r="P13" s="295" t="str">
        <f t="shared" ca="1" si="2"/>
        <v/>
      </c>
      <c r="Q13" s="295"/>
      <c r="R13" s="295" t="str">
        <f t="shared" ca="1" si="3"/>
        <v/>
      </c>
      <c r="S13" s="295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5" t="str">
        <f t="shared" ca="1" si="0"/>
        <v/>
      </c>
      <c r="L14" s="295"/>
      <c r="M14" s="295" t="str">
        <f t="shared" ca="1" si="1"/>
        <v/>
      </c>
      <c r="N14" s="295"/>
      <c r="O14" s="100" t="str">
        <f t="shared" si="4"/>
        <v>T 6</v>
      </c>
      <c r="P14" s="295" t="str">
        <f t="shared" ca="1" si="2"/>
        <v/>
      </c>
      <c r="Q14" s="295"/>
      <c r="R14" s="295" t="str">
        <f t="shared" ca="1" si="3"/>
        <v/>
      </c>
      <c r="S14" s="295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5" t="str">
        <f t="shared" ca="1" si="0"/>
        <v/>
      </c>
      <c r="L15" s="295"/>
      <c r="M15" s="295" t="str">
        <f t="shared" ca="1" si="1"/>
        <v/>
      </c>
      <c r="N15" s="295"/>
      <c r="O15" s="100" t="str">
        <f t="shared" si="4"/>
        <v>T 7</v>
      </c>
      <c r="P15" s="295" t="str">
        <f t="shared" ca="1" si="2"/>
        <v/>
      </c>
      <c r="Q15" s="295"/>
      <c r="R15" s="295" t="str">
        <f t="shared" ca="1" si="3"/>
        <v/>
      </c>
      <c r="S15" s="295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5" t="str">
        <f t="shared" ca="1" si="0"/>
        <v/>
      </c>
      <c r="L16" s="295"/>
      <c r="M16" s="295" t="str">
        <f t="shared" ca="1" si="1"/>
        <v/>
      </c>
      <c r="N16" s="295"/>
      <c r="O16" s="100" t="str">
        <f t="shared" si="4"/>
        <v>T 8</v>
      </c>
      <c r="P16" s="295" t="str">
        <f t="shared" ca="1" si="2"/>
        <v/>
      </c>
      <c r="Q16" s="295"/>
      <c r="R16" s="295" t="str">
        <f t="shared" ca="1" si="3"/>
        <v/>
      </c>
      <c r="S16" s="295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5" t="str">
        <f t="shared" ca="1" si="0"/>
        <v/>
      </c>
      <c r="L17" s="295"/>
      <c r="M17" s="295" t="str">
        <f t="shared" ca="1" si="1"/>
        <v/>
      </c>
      <c r="N17" s="295"/>
      <c r="O17" s="100" t="str">
        <f t="shared" si="4"/>
        <v>T 9</v>
      </c>
      <c r="P17" s="295" t="str">
        <f t="shared" ca="1" si="2"/>
        <v/>
      </c>
      <c r="Q17" s="295"/>
      <c r="R17" s="295" t="str">
        <f t="shared" ca="1" si="3"/>
        <v/>
      </c>
      <c r="S17" s="295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5" t="str">
        <f t="shared" ca="1" si="0"/>
        <v/>
      </c>
      <c r="L18" s="295"/>
      <c r="M18" s="295" t="str">
        <f t="shared" ca="1" si="1"/>
        <v/>
      </c>
      <c r="N18" s="295"/>
      <c r="O18" s="100" t="str">
        <f t="shared" si="4"/>
        <v>T 10</v>
      </c>
      <c r="P18" s="295" t="str">
        <f t="shared" ca="1" si="2"/>
        <v/>
      </c>
      <c r="Q18" s="295"/>
      <c r="R18" s="295" t="str">
        <f t="shared" ca="1" si="3"/>
        <v/>
      </c>
      <c r="S18" s="295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5" t="str">
        <f t="shared" ca="1" si="0"/>
        <v/>
      </c>
      <c r="L19" s="295"/>
      <c r="M19" s="295" t="str">
        <f t="shared" ca="1" si="1"/>
        <v/>
      </c>
      <c r="N19" s="295"/>
      <c r="O19" s="100" t="str">
        <f t="shared" si="4"/>
        <v>T 11</v>
      </c>
      <c r="P19" s="295" t="str">
        <f t="shared" ca="1" si="2"/>
        <v/>
      </c>
      <c r="Q19" s="295"/>
      <c r="R19" s="295" t="str">
        <f t="shared" ca="1" si="3"/>
        <v/>
      </c>
      <c r="S19" s="295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5" t="str">
        <f t="shared" ca="1" si="0"/>
        <v/>
      </c>
      <c r="L20" s="295"/>
      <c r="M20" s="295" t="str">
        <f t="shared" ca="1" si="1"/>
        <v/>
      </c>
      <c r="N20" s="295"/>
      <c r="O20" s="100" t="str">
        <f t="shared" si="4"/>
        <v>T 12</v>
      </c>
      <c r="P20" s="295" t="str">
        <f t="shared" ca="1" si="2"/>
        <v/>
      </c>
      <c r="Q20" s="295"/>
      <c r="R20" s="295" t="str">
        <f t="shared" ca="1" si="3"/>
        <v/>
      </c>
      <c r="S20" s="295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5" t="str">
        <f t="shared" ca="1" si="0"/>
        <v/>
      </c>
      <c r="L21" s="295"/>
      <c r="M21" s="295" t="str">
        <f t="shared" ca="1" si="1"/>
        <v/>
      </c>
      <c r="N21" s="295"/>
      <c r="O21" s="100" t="str">
        <f>"T "&amp;J21</f>
        <v>T 13</v>
      </c>
      <c r="P21" s="295" t="str">
        <f t="shared" ca="1" si="2"/>
        <v/>
      </c>
      <c r="Q21" s="295"/>
      <c r="R21" s="295" t="str">
        <f t="shared" ca="1" si="3"/>
        <v/>
      </c>
      <c r="S21" s="295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5" t="str">
        <f t="shared" ca="1" si="0"/>
        <v/>
      </c>
      <c r="L22" s="295"/>
      <c r="M22" s="295" t="str">
        <f t="shared" ca="1" si="1"/>
        <v/>
      </c>
      <c r="N22" s="295"/>
      <c r="O22" s="100" t="str">
        <f>"T "&amp;J22</f>
        <v>T 14</v>
      </c>
      <c r="P22" s="295" t="str">
        <f t="shared" ca="1" si="2"/>
        <v/>
      </c>
      <c r="Q22" s="295"/>
      <c r="R22" s="295" t="str">
        <f t="shared" ca="1" si="3"/>
        <v/>
      </c>
      <c r="S22" s="295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46107</v>
      </c>
      <c r="S29" s="110">
        <f ca="1">$R$2</f>
        <v>46107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46107</v>
      </c>
      <c r="O36" s="103"/>
      <c r="P36" s="103"/>
      <c r="Q36" s="103"/>
      <c r="R36" s="104"/>
      <c r="S36" s="110">
        <f ca="1">S29</f>
        <v>46107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46107</v>
      </c>
      <c r="O43" s="103"/>
      <c r="P43" s="103"/>
      <c r="Q43" s="103"/>
      <c r="R43" s="104"/>
      <c r="S43" s="110">
        <f ca="1">S36</f>
        <v>46107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46107</v>
      </c>
      <c r="O50" s="105"/>
      <c r="P50" s="105"/>
      <c r="Q50" s="105"/>
      <c r="R50" s="106"/>
      <c r="S50" s="110">
        <f ca="1">S43</f>
        <v>46107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46107</v>
      </c>
      <c r="O57" s="105"/>
      <c r="P57" s="105"/>
      <c r="Q57" s="105"/>
      <c r="R57" s="106"/>
      <c r="S57" s="110">
        <f ca="1">S50</f>
        <v>46107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46107</v>
      </c>
      <c r="O64" s="105"/>
      <c r="P64" s="105"/>
      <c r="Q64" s="105"/>
      <c r="R64" s="106"/>
      <c r="S64" s="110">
        <f ca="1">S57</f>
        <v>46107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46107</v>
      </c>
      <c r="O71" s="105"/>
      <c r="P71" s="105"/>
      <c r="Q71" s="105"/>
      <c r="R71" s="106"/>
      <c r="S71" s="110">
        <f ca="1">S64</f>
        <v>46107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M13:N13"/>
    <mergeCell ref="R6:S6"/>
    <mergeCell ref="R7:S7"/>
    <mergeCell ref="K12:L12"/>
    <mergeCell ref="K10:L10"/>
    <mergeCell ref="M10:N1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K16:L16"/>
    <mergeCell ref="M16:N16"/>
    <mergeCell ref="P16:Q16"/>
    <mergeCell ref="R20:S20"/>
    <mergeCell ref="P20:Q20"/>
    <mergeCell ref="K20:L20"/>
    <mergeCell ref="M20:N20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topLeftCell="A27"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46107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3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>
        <f>VLOOKUP(A3,AanwezigReserve!D:F,3,0)</f>
        <v>3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>
        <f>VLOOKUP(A6,AanwezigReserve!D:F,3,0)</f>
        <v>3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>
        <f>VLOOKUP(A8,AanwezigReserve!D:F,3,0)</f>
        <v>2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 t="str">
        <f>VLOOKUP(A11,AanwezigReserve!D:F,3,0)</f>
        <v>A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>
        <f>VLOOKUP(A18,AanwezigReserve!D:F,3,0)</f>
        <v>2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>
        <f>VLOOKUP(A19,AanwezigReserve!D:F,3,0)</f>
        <v>2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>
        <f>VLOOKUP(A22,AanwezigReserve!D:F,3,0)</f>
        <v>3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>
        <f>VLOOKUP(A31,AanwezigReserve!D:F,3,0)</f>
        <v>3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 t="str">
        <f>VLOOKUP(A37,AanwezigReserve!D:F,3,0)</f>
        <v>A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>
        <f>VLOOKUP(A49,AanwezigReserve!D:F,3,0)</f>
        <v>3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>
        <f>VLOOKUP(A50,AanwezigReserve!D:F,3,0)</f>
        <v>3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/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U4" s="190">
        <f t="shared" ref="U4:U51" si="0">SUM(J4:S4)</f>
        <v>7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U5" s="190">
        <f t="shared" si="0"/>
        <v>13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U6" s="190">
        <f t="shared" si="0"/>
        <v>18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U7" s="190">
        <f t="shared" si="0"/>
        <v>12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U8" s="190">
        <f t="shared" si="0"/>
        <v>8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U9" s="190">
        <f t="shared" si="0"/>
        <v>15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U10" s="190">
        <f t="shared" si="0"/>
        <v>7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U11" s="190">
        <f t="shared" si="0"/>
        <v>20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U12" s="190">
        <f t="shared" si="0"/>
        <v>13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U13" s="190">
        <f t="shared" si="0"/>
        <v>6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U14" s="190">
        <f t="shared" si="0"/>
        <v>4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U15" s="190">
        <f t="shared" si="0"/>
        <v>6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U16" s="190">
        <f t="shared" si="0"/>
        <v>4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U17" s="190">
        <f t="shared" si="0"/>
        <v>14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U19" s="190">
        <f t="shared" si="0"/>
        <v>8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U21" s="190">
        <f t="shared" si="0"/>
        <v>15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U22" s="190">
        <f t="shared" si="0"/>
        <v>7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U23" s="190">
        <f t="shared" si="0"/>
        <v>10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U24" s="190">
        <f t="shared" si="0"/>
        <v>11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U25" s="190">
        <f t="shared" si="0"/>
        <v>10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U27" s="190">
        <f t="shared" si="0"/>
        <v>9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U28" s="190">
        <f t="shared" si="0"/>
        <v>7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U29" s="190">
        <f t="shared" si="0"/>
        <v>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U30" s="190">
        <f t="shared" si="0"/>
        <v>0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U32" s="190">
        <f t="shared" si="0"/>
        <v>15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U33" s="190">
        <f t="shared" si="0"/>
        <v>6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U34" s="190">
        <f t="shared" si="0"/>
        <v>5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U35" s="190">
        <f t="shared" si="0"/>
        <v>13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U36" s="190">
        <f t="shared" si="0"/>
        <v>6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U37" s="190">
        <f t="shared" si="0"/>
        <v>7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U39" s="190">
        <f t="shared" si="0"/>
        <v>6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U40" s="190">
        <f t="shared" si="0"/>
        <v>2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U41" s="190">
        <f t="shared" si="0"/>
        <v>7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U42" s="190">
        <f t="shared" si="0"/>
        <v>5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U43" s="190">
        <f t="shared" si="0"/>
        <v>10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U44" s="190">
        <f t="shared" si="0"/>
        <v>19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U45" s="190">
        <f t="shared" si="0"/>
        <v>18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U48" s="190">
        <f t="shared" si="0"/>
        <v>8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U49" s="190">
        <f t="shared" si="0"/>
        <v>3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/>
      <c r="Q51" s="230"/>
      <c r="R51" s="230"/>
      <c r="S51" s="230"/>
      <c r="T51" s="230"/>
      <c r="U51" s="232">
        <f t="shared" si="0"/>
        <v>422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0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84.4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4"/>
  <sheetViews>
    <sheetView workbookViewId="0"/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</sheetData>
  <phoneticPr fontId="53" type="noConversion"/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2026-03-23T15:30:56Z</cp:lastPrinted>
  <dcterms:created xsi:type="dcterms:W3CDTF">2006-07-10T11:49:33Z</dcterms:created>
  <dcterms:modified xsi:type="dcterms:W3CDTF">2026-03-26T10:07:04Z</dcterms:modified>
</cp:coreProperties>
</file>