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en\THE WHISKIES TEST\klassement\"/>
    </mc:Choice>
  </mc:AlternateContent>
  <xr:revisionPtr revIDLastSave="0" documentId="13_ncr:1_{2A6F6D36-6102-4DF6-9A25-F65B1BEBCEBC}" xr6:coauthVersionLast="47" xr6:coauthVersionMax="47" xr10:uidLastSave="{00000000-0000-0000-0000-000000000000}"/>
  <bookViews>
    <workbookView xWindow="6810" yWindow="-13875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11" l="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<sst xmlns="http://schemas.openxmlformats.org/spreadsheetml/2006/main" count="829" uniqueCount="299">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</sst>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topLeftCell="A29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19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4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>
        <v>3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 t="s">
        <v>116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>
        <v>3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>
        <v>3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>
        <v>3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>
        <v>3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46107</v>
      </c>
      <c r="I1" s="79">
        <f ca="1">Loting!$R$2</f>
        <v>46107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46107</v>
      </c>
      <c r="I9" s="79">
        <f ca="1">Loting!$R$2</f>
        <v>46107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46107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46107</v>
      </c>
      <c r="I25" s="79">
        <f ca="1">Loting!$R$2</f>
        <v>46107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46107</v>
      </c>
      <c r="I33" s="79">
        <f ca="1">Loting!$R$2</f>
        <v>46107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46107</v>
      </c>
      <c r="I41" s="79">
        <f ca="1">Loting!$R$2</f>
        <v>46107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46107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46107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46107</v>
      </c>
      <c r="S29" s="110">
        <f ca="1">$R$2</f>
        <v>46107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46107</v>
      </c>
      <c r="O36" s="103"/>
      <c r="P36" s="103"/>
      <c r="Q36" s="103"/>
      <c r="R36" s="104"/>
      <c r="S36" s="110">
        <f ca="1">S29</f>
        <v>46107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46107</v>
      </c>
      <c r="O43" s="103"/>
      <c r="P43" s="103"/>
      <c r="Q43" s="103"/>
      <c r="R43" s="104"/>
      <c r="S43" s="110">
        <f ca="1">S36</f>
        <v>46107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46107</v>
      </c>
      <c r="O50" s="105"/>
      <c r="P50" s="105"/>
      <c r="Q50" s="105"/>
      <c r="R50" s="106"/>
      <c r="S50" s="110">
        <f ca="1">S43</f>
        <v>46107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46107</v>
      </c>
      <c r="O57" s="105"/>
      <c r="P57" s="105"/>
      <c r="Q57" s="105"/>
      <c r="R57" s="106"/>
      <c r="S57" s="110">
        <f ca="1">S50</f>
        <v>46107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46107</v>
      </c>
      <c r="O64" s="105"/>
      <c r="P64" s="105"/>
      <c r="Q64" s="105"/>
      <c r="R64" s="106"/>
      <c r="S64" s="110">
        <f ca="1">S57</f>
        <v>46107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46107</v>
      </c>
      <c r="O71" s="105"/>
      <c r="P71" s="105"/>
      <c r="Q71" s="105"/>
      <c r="R71" s="106"/>
      <c r="S71" s="110">
        <f ca="1">S64</f>
        <v>46107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topLeftCell="A27"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46107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3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4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>
        <f>VLOOKUP(A11,AanwezigReserve!D:F,3,0)</f>
        <v>3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 t="str">
        <f>VLOOKUP(A19,AanwezigReserve!D:F,3,0)</f>
        <v>A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>
        <f>VLOOKUP(A24,AanwezigReserve!D:F,3,0)</f>
        <v>3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>
        <f>VLOOKUP(A26,AanwezigReserve!D:F,3,0)</f>
        <v>3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>
        <f>VLOOKUP(A34,AanwezigReserve!D:F,3,0)</f>
        <v>3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>
        <f>VLOOKUP(A37,AanwezigReserve!D:F,3,0)</f>
        <v>3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/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U4" s="190">
        <f t="shared" ref="U4:U51" si="0">SUM(J4:S4)</f>
        <v>7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U5" s="190">
        <f t="shared" si="0"/>
        <v>13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U6" s="190">
        <f t="shared" si="0"/>
        <v>18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U7" s="190">
        <f t="shared" si="0"/>
        <v>12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U8" s="190">
        <f t="shared" si="0"/>
        <v>8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U9" s="190">
        <f t="shared" si="0"/>
        <v>15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U10" s="190">
        <f t="shared" si="0"/>
        <v>7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U11" s="190">
        <f t="shared" si="0"/>
        <v>20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U12" s="190">
        <f t="shared" si="0"/>
        <v>13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U13" s="190">
        <f t="shared" si="0"/>
        <v>6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U14" s="190">
        <f t="shared" si="0"/>
        <v>4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U15" s="190">
        <f t="shared" si="0"/>
        <v>6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U16" s="190">
        <f t="shared" si="0"/>
        <v>4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U17" s="190">
        <f t="shared" si="0"/>
        <v>14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U19" s="190">
        <f t="shared" si="0"/>
        <v>8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U21" s="190">
        <f t="shared" si="0"/>
        <v>15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U22" s="190">
        <f t="shared" si="0"/>
        <v>7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U23" s="190">
        <f t="shared" si="0"/>
        <v>10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U24" s="190">
        <f t="shared" si="0"/>
        <v>11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U25" s="190">
        <f t="shared" si="0"/>
        <v>10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U27" s="190">
        <f t="shared" si="0"/>
        <v>9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U28" s="190">
        <f t="shared" si="0"/>
        <v>7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U29" s="190">
        <f t="shared" si="0"/>
        <v>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U30" s="190">
        <f t="shared" si="0"/>
        <v>0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U32" s="190">
        <f t="shared" si="0"/>
        <v>15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U33" s="190">
        <f t="shared" si="0"/>
        <v>6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U34" s="190">
        <f t="shared" si="0"/>
        <v>5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U35" s="190">
        <f t="shared" si="0"/>
        <v>13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U36" s="190">
        <f t="shared" si="0"/>
        <v>6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U37" s="190">
        <f t="shared" si="0"/>
        <v>7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U39" s="190">
        <f t="shared" si="0"/>
        <v>6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U40" s="190">
        <f t="shared" si="0"/>
        <v>2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U41" s="190">
        <f t="shared" si="0"/>
        <v>7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U42" s="190">
        <f t="shared" si="0"/>
        <v>5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U43" s="190">
        <f t="shared" si="0"/>
        <v>10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U44" s="190">
        <f t="shared" si="0"/>
        <v>19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U45" s="190">
        <f t="shared" si="0"/>
        <v>18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U48" s="190">
        <f t="shared" si="0"/>
        <v>8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U49" s="190">
        <f t="shared" si="0"/>
        <v>3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/>
      <c r="Q51" s="230"/>
      <c r="R51" s="230"/>
      <c r="S51" s="230"/>
      <c r="T51" s="230"/>
      <c r="U51" s="232">
        <f t="shared" si="0"/>
        <v>422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0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84.4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4"/>
  <sheetViews>
    <sheetView workbookViewId="0"/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</sheetData>
  <phoneticPr fontId="53" type="noConversion"/>
  <pageMargins left="0.7" right="0.7" top="0.75" bottom="0.75" header="0.3" footer="0.3"/>
  <pageSetup paperSize="9"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2026-03-23T15:30:56Z</cp:lastPrinted>
  <dcterms:created xsi:type="dcterms:W3CDTF">2006-07-10T11:49:33Z</dcterms:created>
  <dcterms:modified xsi:type="dcterms:W3CDTF">2026-03-26T10:24:13Z</dcterms:modified>
</cp:coreProperties>
</file>