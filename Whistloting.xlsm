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\Documents\WHISKIES\klassement\"/>
    </mc:Choice>
  </mc:AlternateContent>
  <xr:revisionPtr revIDLastSave="0" documentId="13_ncr:1_{5BC5E114-C9B0-4A54-9448-5BA164393971}" xr6:coauthVersionLast="47" xr6:coauthVersionMax="47" xr10:uidLastSave="{00000000-0000-0000-0000-000000000000}"/>
  <bookViews>
    <workbookView xWindow="1560" yWindow="1560" windowWidth="18000" windowHeight="9270" activeTab="4" xr2:uid="{9F542285-01F2-4224-9CF8-A10399121308}"/>
  </bookViews>
  <sheets>
    <sheet name="AanwezigReserve" sheetId="3" r:id="rId1"/>
    <sheet name="Wedstrijdblad" sheetId="13" state="hidden" r:id="rId2"/>
    <sheet name="Loting" sheetId="2" r:id="rId3"/>
    <sheet name="Ronde1" sheetId="4" r:id="rId4"/>
    <sheet name="Ronde2" sheetId="5" r:id="rId5"/>
    <sheet name="Ronde3" sheetId="6" r:id="rId6"/>
    <sheet name="Ronde4" sheetId="7" r:id="rId7"/>
    <sheet name="Dagscores" sheetId="21" r:id="rId8"/>
    <sheet name="Blad2" sheetId="15" r:id="rId9"/>
    <sheet name="samen" sheetId="11" r:id="rId10"/>
    <sheet name="TotaleScores" sheetId="19" r:id="rId11"/>
    <sheet name="Aanwezigheidslijst" sheetId="20" r:id="rId12"/>
  </sheets>
  <definedNames>
    <definedName name="_xlnm._FilterDatabase" localSheetId="2" hidden="1">Loting!$A$1:$W$59</definedName>
    <definedName name="_xleta.TODAY" hidden="1" xlm="1">#NAME?</definedName>
    <definedName name="a">Ronde1!$E$1048576</definedName>
    <definedName name="_xlnm.Print_Area" localSheetId="0">AanwezigReserve!$D$4:$R$69</definedName>
    <definedName name="_xlnm.Print_Area" localSheetId="2">Loting!$J$2:$S$75</definedName>
    <definedName name="spelers">Loting!$A$5:$E$56</definedName>
    <definedName name="Whist" localSheetId="2">Loting!$K$2:$S$69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5" i="20" l="1"/>
  <c r="E44" i="11"/>
  <c r="E45" i="11"/>
  <c r="E51" i="11"/>
  <c r="E52" i="11"/>
  <c r="E53" i="11"/>
  <c r="E54" i="11"/>
  <c r="A52" i="11"/>
  <c r="C52" i="11" s="1"/>
  <c r="A53" i="11"/>
  <c r="C53" i="11" s="1"/>
  <c r="A54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A49" i="11"/>
  <c r="A33" i="11"/>
  <c r="A24" i="11"/>
  <c r="E3" i="11"/>
  <c r="D3" i="11"/>
  <c r="C3" i="11"/>
  <c r="E46" i="11"/>
  <c r="E47" i="11"/>
  <c r="E48" i="11"/>
  <c r="E50" i="11"/>
  <c r="D53" i="11"/>
  <c r="B37" i="11"/>
  <c r="D53" i="3"/>
  <c r="E53" i="3" s="1"/>
  <c r="A53" i="20"/>
  <c r="A54" i="20"/>
  <c r="A50" i="20"/>
  <c r="A51" i="20"/>
  <c r="E31" i="3"/>
  <c r="D52" i="3"/>
  <c r="E52" i="3" s="1"/>
  <c r="D3" i="3"/>
  <c r="H8" i="2"/>
  <c r="G7" i="11" l="1"/>
  <c r="G5" i="11"/>
  <c r="G4" i="11"/>
  <c r="G6" i="11"/>
  <c r="G8" i="11"/>
  <c r="G9" i="11"/>
  <c r="G36" i="11"/>
  <c r="G10" i="11"/>
  <c r="G11" i="11"/>
  <c r="G12" i="11"/>
  <c r="G13" i="11"/>
  <c r="G15" i="11"/>
  <c r="G16" i="11"/>
  <c r="G17" i="11"/>
  <c r="G19" i="11"/>
  <c r="G20" i="11"/>
  <c r="G21" i="11"/>
  <c r="G22" i="11"/>
  <c r="G23" i="11"/>
  <c r="G25" i="11"/>
  <c r="G28" i="11"/>
  <c r="G35" i="11"/>
  <c r="G37" i="11"/>
  <c r="G47" i="11"/>
  <c r="G48" i="11"/>
  <c r="G50" i="11"/>
  <c r="G29" i="11"/>
  <c r="G41" i="11"/>
  <c r="G14" i="11"/>
  <c r="G45" i="11"/>
  <c r="G53" i="11"/>
  <c r="G46" i="11"/>
  <c r="G34" i="11"/>
  <c r="G39" i="11"/>
  <c r="G27" i="11"/>
  <c r="G44" i="11"/>
  <c r="G32" i="11"/>
  <c r="G43" i="11"/>
  <c r="G42" i="11"/>
  <c r="G30" i="11"/>
  <c r="G18" i="11"/>
  <c r="G38" i="11"/>
  <c r="G26" i="11"/>
  <c r="G31" i="11"/>
  <c r="G40" i="11"/>
  <c r="G52" i="11"/>
  <c r="G51" i="11"/>
  <c r="E49" i="11"/>
  <c r="G49" i="11" s="1"/>
  <c r="G33" i="11"/>
  <c r="G24" i="11"/>
  <c r="A52" i="20"/>
  <c r="H56" i="3"/>
  <c r="H1" i="11"/>
  <c r="R2" i="2"/>
  <c r="D5" i="3"/>
  <c r="D6" i="3"/>
  <c r="D8" i="3"/>
  <c r="D9" i="3"/>
  <c r="D10" i="3"/>
  <c r="D11" i="3"/>
  <c r="E11" i="3" s="1"/>
  <c r="D12" i="3"/>
  <c r="E12" i="3" s="1"/>
  <c r="D13" i="3"/>
  <c r="D14" i="3"/>
  <c r="E14" i="3" s="1"/>
  <c r="D15" i="3"/>
  <c r="E15" i="3" s="1"/>
  <c r="D16" i="3"/>
  <c r="D17" i="3"/>
  <c r="D18" i="3"/>
  <c r="D19" i="3"/>
  <c r="E19" i="3" s="1"/>
  <c r="D20" i="3"/>
  <c r="D21" i="3"/>
  <c r="D22" i="3"/>
  <c r="E22" i="3" s="1"/>
  <c r="D23" i="3"/>
  <c r="D24" i="3"/>
  <c r="E24" i="3" s="1"/>
  <c r="D26" i="3"/>
  <c r="E26" i="3" s="1"/>
  <c r="D27" i="3"/>
  <c r="D28" i="3"/>
  <c r="D29" i="3"/>
  <c r="E29" i="3" s="1"/>
  <c r="D30" i="3"/>
  <c r="E30" i="3" s="1"/>
  <c r="D32" i="3"/>
  <c r="E32" i="3" s="1"/>
  <c r="D33" i="3"/>
  <c r="D34" i="3"/>
  <c r="E34" i="3" s="1"/>
  <c r="D35" i="3"/>
  <c r="E35" i="3" s="1"/>
  <c r="D36" i="3"/>
  <c r="E36" i="3" s="1"/>
  <c r="D37" i="3"/>
  <c r="E37" i="3" s="1"/>
  <c r="D7" i="3"/>
  <c r="D39" i="3"/>
  <c r="D40" i="3"/>
  <c r="E40" i="3" s="1"/>
  <c r="D25" i="3"/>
  <c r="D41" i="3"/>
  <c r="D42" i="3"/>
  <c r="E42" i="3" s="1"/>
  <c r="D43" i="3"/>
  <c r="E43" i="3" s="1"/>
  <c r="D44" i="3"/>
  <c r="D45" i="3"/>
  <c r="D46" i="3"/>
  <c r="E46" i="3" s="1"/>
  <c r="D47" i="3"/>
  <c r="D48" i="3"/>
  <c r="D49" i="3"/>
  <c r="D50" i="3"/>
  <c r="D51" i="3"/>
  <c r="D38" i="3"/>
  <c r="E38" i="3" s="1"/>
  <c r="D31" i="3"/>
  <c r="D55" i="3"/>
  <c r="D56" i="3"/>
  <c r="E5" i="3"/>
  <c r="I30" i="7"/>
  <c r="I31" i="7"/>
  <c r="I32" i="7"/>
  <c r="I33" i="7"/>
  <c r="L51" i="19"/>
  <c r="D4" i="3"/>
  <c r="C1" i="3"/>
  <c r="K51" i="19"/>
  <c r="J51" i="19"/>
  <c r="E6" i="3"/>
  <c r="E8" i="3"/>
  <c r="E9" i="3"/>
  <c r="E13" i="3"/>
  <c r="A40" i="20"/>
  <c r="A42" i="20" l="1"/>
  <c r="A6" i="20"/>
  <c r="A18" i="20"/>
  <c r="A14" i="20"/>
  <c r="E47" i="3"/>
  <c r="E21" i="3"/>
  <c r="Z6" i="3"/>
  <c r="A7" i="20"/>
  <c r="E10" i="3"/>
  <c r="A33" i="20"/>
  <c r="A45" i="20"/>
  <c r="A48" i="20"/>
  <c r="A28" i="20"/>
  <c r="A49" i="20"/>
  <c r="B50" i="19"/>
  <c r="A44" i="20"/>
  <c r="A32" i="20"/>
  <c r="A19" i="20"/>
  <c r="A35" i="20"/>
  <c r="A21" i="20"/>
  <c r="A31" i="20"/>
  <c r="A43" i="20"/>
  <c r="A16" i="20"/>
  <c r="A12" i="20"/>
  <c r="A30" i="20"/>
  <c r="A9" i="20"/>
  <c r="A38" i="20"/>
  <c r="A37" i="20"/>
  <c r="A25" i="20"/>
  <c r="A13" i="20"/>
  <c r="A29" i="20"/>
  <c r="A36" i="20"/>
  <c r="A46" i="20"/>
  <c r="A22" i="20"/>
  <c r="A11" i="20"/>
  <c r="A39" i="20"/>
  <c r="A27" i="20"/>
  <c r="A17" i="20"/>
  <c r="A41" i="20"/>
  <c r="E33" i="3"/>
  <c r="E20" i="3"/>
  <c r="A15" i="20"/>
  <c r="E45" i="3"/>
  <c r="E44" i="3"/>
  <c r="A4" i="20"/>
  <c r="A3" i="20"/>
  <c r="E16" i="3"/>
  <c r="A47" i="20"/>
  <c r="E3" i="3"/>
  <c r="A24" i="20"/>
  <c r="E41" i="3"/>
  <c r="A23" i="20"/>
  <c r="E25" i="3"/>
  <c r="E51" i="3"/>
  <c r="E28" i="3"/>
  <c r="A34" i="20"/>
  <c r="E50" i="3"/>
  <c r="E39" i="3"/>
  <c r="E27" i="3"/>
  <c r="A20" i="20"/>
  <c r="E49" i="3"/>
  <c r="E7" i="3"/>
  <c r="E18" i="3"/>
  <c r="E48" i="3"/>
  <c r="E23" i="3"/>
  <c r="A26" i="20"/>
  <c r="A10" i="20"/>
  <c r="E17" i="3"/>
  <c r="A8" i="20"/>
  <c r="A5" i="20"/>
  <c r="I33" i="6"/>
  <c r="I32" i="6"/>
  <c r="I31" i="6"/>
  <c r="I30" i="6"/>
  <c r="I33" i="5"/>
  <c r="I32" i="5"/>
  <c r="I31" i="5"/>
  <c r="I30" i="5"/>
  <c r="AA54" i="2"/>
  <c r="I31" i="4"/>
  <c r="I32" i="4"/>
  <c r="I33" i="4"/>
  <c r="I30" i="4"/>
  <c r="AA50" i="2"/>
  <c r="S73" i="2"/>
  <c r="O22" i="2"/>
  <c r="N73" i="2"/>
  <c r="O21" i="2"/>
  <c r="E53" i="2"/>
  <c r="E11" i="2"/>
  <c r="E24" i="2"/>
  <c r="E15" i="2"/>
  <c r="E49" i="2"/>
  <c r="E50" i="2"/>
  <c r="E33" i="2"/>
  <c r="E42" i="2"/>
  <c r="E41" i="2"/>
  <c r="E56" i="2"/>
  <c r="A56" i="2" s="1"/>
  <c r="E57" i="2"/>
  <c r="A57" i="2" s="1"/>
  <c r="E58" i="2"/>
  <c r="A58" i="2" s="1"/>
  <c r="E59" i="2"/>
  <c r="A59" i="2" s="1"/>
  <c r="U43" i="19"/>
  <c r="U41" i="19"/>
  <c r="U40" i="19"/>
  <c r="U39" i="19"/>
  <c r="U29" i="19"/>
  <c r="U28" i="19"/>
  <c r="U27" i="19"/>
  <c r="U19" i="19"/>
  <c r="U17" i="19"/>
  <c r="U15" i="19"/>
  <c r="U5" i="19"/>
  <c r="R52" i="19"/>
  <c r="U38" i="19"/>
  <c r="U26" i="19"/>
  <c r="U30" i="19"/>
  <c r="U18" i="19"/>
  <c r="U16" i="19"/>
  <c r="U6" i="19"/>
  <c r="U4" i="19"/>
  <c r="U37" i="19"/>
  <c r="U13" i="19"/>
  <c r="N52" i="19"/>
  <c r="O52" i="19"/>
  <c r="S52" i="19"/>
  <c r="K52" i="19"/>
  <c r="L52" i="19"/>
  <c r="M52" i="19"/>
  <c r="Q52" i="19"/>
  <c r="J52" i="19"/>
  <c r="U44" i="19"/>
  <c r="U32" i="19"/>
  <c r="U20" i="19"/>
  <c r="U8" i="19"/>
  <c r="U7" i="19"/>
  <c r="U9" i="19"/>
  <c r="U10" i="19"/>
  <c r="U11" i="19"/>
  <c r="U12" i="19"/>
  <c r="U14" i="19"/>
  <c r="U21" i="19"/>
  <c r="U22" i="19"/>
  <c r="U23" i="19"/>
  <c r="U24" i="19"/>
  <c r="U25" i="19"/>
  <c r="U31" i="19"/>
  <c r="U33" i="19"/>
  <c r="U34" i="19"/>
  <c r="U35" i="19"/>
  <c r="U36" i="19"/>
  <c r="U42" i="19"/>
  <c r="U45" i="19"/>
  <c r="U46" i="19"/>
  <c r="U48" i="19"/>
  <c r="U49" i="19"/>
  <c r="U50" i="19"/>
  <c r="E6" i="2" l="1"/>
  <c r="E23" i="2"/>
  <c r="E51" i="2"/>
  <c r="E55" i="2"/>
  <c r="A55" i="2" s="1"/>
  <c r="P52" i="19"/>
  <c r="U52" i="19" s="1"/>
  <c r="U51" i="19"/>
  <c r="W51" i="19" s="1"/>
  <c r="U3" i="19"/>
  <c r="U47" i="19"/>
  <c r="G51" i="19"/>
  <c r="A11" i="11" l="1"/>
  <c r="B47" i="19"/>
  <c r="A17" i="11"/>
  <c r="A51" i="11"/>
  <c r="AA6" i="2"/>
  <c r="AA10" i="2" s="1"/>
  <c r="AA14" i="2" s="1"/>
  <c r="AA18" i="2" s="1"/>
  <c r="AA22" i="2" s="1"/>
  <c r="AA26" i="2" s="1"/>
  <c r="AA30" i="2" s="1"/>
  <c r="AA34" i="2" s="1"/>
  <c r="AA38" i="2" s="1"/>
  <c r="AA42" i="2" s="1"/>
  <c r="AA46" i="2" s="1"/>
  <c r="H35" i="3"/>
  <c r="H36" i="3"/>
  <c r="H37" i="3"/>
  <c r="H7" i="3"/>
  <c r="H39" i="3"/>
  <c r="H40" i="3"/>
  <c r="H25" i="3"/>
  <c r="H41" i="3"/>
  <c r="H42" i="3"/>
  <c r="H43" i="3"/>
  <c r="H44" i="3"/>
  <c r="H45" i="3"/>
  <c r="H46" i="3"/>
  <c r="H47" i="3"/>
  <c r="H48" i="3"/>
  <c r="H49" i="3"/>
  <c r="H50" i="3"/>
  <c r="H51" i="3"/>
  <c r="H26" i="3"/>
  <c r="H27" i="3"/>
  <c r="H11" i="3"/>
  <c r="H38" i="3"/>
  <c r="H52" i="3"/>
  <c r="K30" i="5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B51" i="15"/>
  <c r="C51" i="15"/>
  <c r="D51" i="15"/>
  <c r="E51" i="15"/>
  <c r="B52" i="15"/>
  <c r="C52" i="15"/>
  <c r="D52" i="15"/>
  <c r="E52" i="15"/>
  <c r="K1" i="2"/>
  <c r="M1" i="2" s="1"/>
  <c r="P1" i="2" s="1"/>
  <c r="R1" i="2" s="1"/>
  <c r="X2" i="3"/>
  <c r="K30" i="4"/>
  <c r="H15" i="3"/>
  <c r="H4" i="3"/>
  <c r="H5" i="3"/>
  <c r="H6" i="3"/>
  <c r="H8" i="3"/>
  <c r="H9" i="3"/>
  <c r="H10" i="3"/>
  <c r="H12" i="3"/>
  <c r="H13" i="3"/>
  <c r="H14" i="3"/>
  <c r="H16" i="3"/>
  <c r="H17" i="3"/>
  <c r="H18" i="3"/>
  <c r="H19" i="3"/>
  <c r="H20" i="3"/>
  <c r="H21" i="3"/>
  <c r="H22" i="3"/>
  <c r="H23" i="3"/>
  <c r="H24" i="3"/>
  <c r="H28" i="3"/>
  <c r="H31" i="3"/>
  <c r="H29" i="3"/>
  <c r="H30" i="3"/>
  <c r="H3" i="3"/>
  <c r="H32" i="3"/>
  <c r="H33" i="3"/>
  <c r="H34" i="3"/>
  <c r="E47" i="2"/>
  <c r="K30" i="7"/>
  <c r="K30" i="6"/>
  <c r="A10" i="11" l="1"/>
  <c r="E46" i="2"/>
  <c r="E34" i="2"/>
  <c r="E35" i="2"/>
  <c r="E26" i="2"/>
  <c r="E52" i="2"/>
  <c r="A46" i="11"/>
  <c r="A26" i="11"/>
  <c r="E16" i="2"/>
  <c r="E27" i="2"/>
  <c r="E36" i="2"/>
  <c r="A9" i="11"/>
  <c r="E25" i="2"/>
  <c r="E18" i="2"/>
  <c r="A8" i="11"/>
  <c r="E43" i="2"/>
  <c r="E5" i="2"/>
  <c r="E32" i="2"/>
  <c r="B22" i="19"/>
  <c r="E13" i="2"/>
  <c r="B35" i="19"/>
  <c r="E10" i="2"/>
  <c r="E8" i="2"/>
  <c r="A5" i="11"/>
  <c r="E19" i="2"/>
  <c r="E38" i="2"/>
  <c r="E28" i="2"/>
  <c r="E12" i="2"/>
  <c r="E7" i="2"/>
  <c r="E37" i="2"/>
  <c r="A38" i="11"/>
  <c r="E31" i="2"/>
  <c r="E21" i="2"/>
  <c r="E48" i="2"/>
  <c r="A35" i="11"/>
  <c r="E14" i="2"/>
  <c r="E20" i="2"/>
  <c r="A2" i="20"/>
  <c r="A36" i="11"/>
  <c r="A22" i="11"/>
  <c r="B41" i="19"/>
  <c r="A41" i="11"/>
  <c r="A34" i="11"/>
  <c r="A45" i="11"/>
  <c r="B26" i="19"/>
  <c r="A21" i="11"/>
  <c r="B31" i="19"/>
  <c r="B39" i="19"/>
  <c r="B32" i="19"/>
  <c r="B42" i="19"/>
  <c r="B27" i="19"/>
  <c r="B36" i="19"/>
  <c r="B23" i="19"/>
  <c r="B7" i="19"/>
  <c r="E39" i="2"/>
  <c r="A20" i="11"/>
  <c r="B6" i="19"/>
  <c r="E30" i="2"/>
  <c r="B19" i="19"/>
  <c r="E22" i="2"/>
  <c r="B40" i="19"/>
  <c r="B17" i="19"/>
  <c r="E45" i="2"/>
  <c r="B15" i="19"/>
  <c r="E44" i="2"/>
  <c r="B13" i="19"/>
  <c r="E29" i="2"/>
  <c r="B10" i="19"/>
  <c r="E40" i="2"/>
  <c r="B25" i="19"/>
  <c r="B9" i="19"/>
  <c r="E17" i="2"/>
  <c r="B37" i="19"/>
  <c r="B24" i="19"/>
  <c r="B8" i="19"/>
  <c r="E9" i="2"/>
  <c r="A23" i="11"/>
  <c r="B46" i="19"/>
  <c r="A44" i="11"/>
  <c r="B45" i="19"/>
  <c r="B30" i="19"/>
  <c r="B16" i="19"/>
  <c r="B34" i="19"/>
  <c r="A31" i="11"/>
  <c r="B29" i="19"/>
  <c r="A7" i="11"/>
  <c r="B21" i="19"/>
  <c r="A4" i="11"/>
  <c r="B4" i="19"/>
  <c r="A42" i="11"/>
  <c r="B43" i="19"/>
  <c r="A30" i="11"/>
  <c r="B28" i="19"/>
  <c r="A18" i="11"/>
  <c r="B14" i="19"/>
  <c r="A6" i="11"/>
  <c r="B11" i="19"/>
  <c r="A43" i="11"/>
  <c r="B44" i="19"/>
  <c r="B12" i="19"/>
  <c r="A50" i="11"/>
  <c r="A39" i="11"/>
  <c r="B38" i="19"/>
  <c r="B18" i="19"/>
  <c r="A40" i="11"/>
  <c r="B11" i="11"/>
  <c r="A47" i="11"/>
  <c r="A32" i="11"/>
  <c r="B33" i="19"/>
  <c r="B20" i="19"/>
  <c r="B5" i="19"/>
  <c r="B49" i="19"/>
  <c r="B48" i="19"/>
  <c r="A48" i="11"/>
  <c r="A19" i="11"/>
  <c r="A27" i="11"/>
  <c r="A15" i="11"/>
  <c r="B17" i="11"/>
  <c r="A16" i="11"/>
  <c r="A14" i="11"/>
  <c r="A25" i="11"/>
  <c r="A13" i="11"/>
  <c r="A12" i="11"/>
  <c r="A29" i="11"/>
  <c r="A28" i="11"/>
  <c r="A37" i="11"/>
  <c r="B3" i="19"/>
  <c r="Q54" i="11"/>
  <c r="R54" i="11"/>
  <c r="S54" i="11"/>
  <c r="B21" i="11" l="1"/>
  <c r="B10" i="11"/>
  <c r="B24" i="11"/>
  <c r="B14" i="11"/>
  <c r="B33" i="11"/>
  <c r="B30" i="11"/>
  <c r="B39" i="11"/>
  <c r="B16" i="11"/>
  <c r="B44" i="11"/>
  <c r="B5" i="11"/>
  <c r="B35" i="11"/>
  <c r="B25" i="11"/>
  <c r="B20" i="11"/>
  <c r="B15" i="11"/>
  <c r="B45" i="11"/>
  <c r="B43" i="11"/>
  <c r="B34" i="11"/>
  <c r="B7" i="11"/>
  <c r="B23" i="11"/>
  <c r="B41" i="11"/>
  <c r="B38" i="11"/>
  <c r="B27" i="11"/>
  <c r="B29" i="11"/>
  <c r="B47" i="11"/>
  <c r="B26" i="11"/>
  <c r="B12" i="11"/>
  <c r="B6" i="11"/>
  <c r="B31" i="11"/>
  <c r="B22" i="11"/>
  <c r="B46" i="11"/>
  <c r="B13" i="11"/>
  <c r="B40" i="11"/>
  <c r="B36" i="11"/>
  <c r="B28" i="11"/>
  <c r="B19" i="11"/>
  <c r="B18" i="11"/>
  <c r="B48" i="11"/>
  <c r="B8" i="11"/>
  <c r="B9" i="11"/>
  <c r="B42" i="11"/>
  <c r="B32" i="11"/>
  <c r="P32" i="11"/>
  <c r="C32" i="19" s="1"/>
  <c r="B4" i="11"/>
  <c r="P4" i="11"/>
  <c r="C4" i="19" s="1"/>
  <c r="F55" i="2"/>
  <c r="F57" i="2"/>
  <c r="H55" i="3"/>
  <c r="G57" i="15" l="1"/>
  <c r="E4" i="3" l="1"/>
  <c r="B50" i="11"/>
  <c r="F56" i="2"/>
  <c r="B49" i="11"/>
  <c r="F58" i="2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3" i="15"/>
  <c r="A54" i="15"/>
  <c r="A56" i="15"/>
  <c r="A2" i="15"/>
  <c r="B2" i="15" s="1"/>
  <c r="C2" i="15" s="1"/>
  <c r="D2" i="15" s="1"/>
  <c r="E2" i="15" s="1"/>
  <c r="F51" i="2" l="1"/>
  <c r="F53" i="2"/>
  <c r="R53" i="11"/>
  <c r="Q50" i="11"/>
  <c r="S51" i="11"/>
  <c r="R51" i="11"/>
  <c r="S50" i="11"/>
  <c r="Q51" i="11"/>
  <c r="S52" i="11"/>
  <c r="R50" i="11"/>
  <c r="Q52" i="11"/>
  <c r="R52" i="11"/>
  <c r="Q53" i="11"/>
  <c r="S53" i="11"/>
  <c r="E56" i="15"/>
  <c r="D56" i="15"/>
  <c r="C56" i="15"/>
  <c r="E24" i="15"/>
  <c r="D24" i="15"/>
  <c r="C24" i="15"/>
  <c r="D49" i="15"/>
  <c r="E49" i="15"/>
  <c r="C49" i="15"/>
  <c r="E35" i="15"/>
  <c r="C35" i="15"/>
  <c r="D35" i="15"/>
  <c r="E23" i="15"/>
  <c r="C23" i="15"/>
  <c r="D23" i="15"/>
  <c r="C34" i="15"/>
  <c r="D34" i="15"/>
  <c r="E34" i="15"/>
  <c r="C46" i="15"/>
  <c r="D46" i="15"/>
  <c r="E46" i="15"/>
  <c r="C33" i="15"/>
  <c r="D33" i="15"/>
  <c r="E33" i="15"/>
  <c r="E36" i="15"/>
  <c r="D36" i="15"/>
  <c r="C36" i="15"/>
  <c r="C45" i="15"/>
  <c r="D45" i="15"/>
  <c r="E45" i="15"/>
  <c r="C44" i="15"/>
  <c r="D44" i="15"/>
  <c r="E44" i="15"/>
  <c r="C32" i="15"/>
  <c r="D32" i="15"/>
  <c r="E32" i="15"/>
  <c r="C43" i="15"/>
  <c r="D43" i="15"/>
  <c r="E43" i="15"/>
  <c r="C31" i="15"/>
  <c r="D31" i="15"/>
  <c r="E31" i="15"/>
  <c r="D37" i="15"/>
  <c r="E37" i="15"/>
  <c r="C37" i="15"/>
  <c r="C53" i="15"/>
  <c r="D53" i="15"/>
  <c r="E53" i="15"/>
  <c r="C42" i="15"/>
  <c r="D42" i="15"/>
  <c r="E42" i="15"/>
  <c r="C30" i="15"/>
  <c r="D30" i="15"/>
  <c r="E30" i="15"/>
  <c r="D25" i="15"/>
  <c r="E25" i="15"/>
  <c r="C25" i="15"/>
  <c r="C41" i="15"/>
  <c r="D41" i="15"/>
  <c r="E41" i="15"/>
  <c r="C29" i="15"/>
  <c r="D29" i="15"/>
  <c r="E29" i="15"/>
  <c r="E47" i="15"/>
  <c r="C47" i="15"/>
  <c r="D47" i="15"/>
  <c r="C40" i="15"/>
  <c r="D40" i="15"/>
  <c r="E40" i="15"/>
  <c r="C28" i="15"/>
  <c r="D28" i="15"/>
  <c r="E28" i="15"/>
  <c r="C54" i="15"/>
  <c r="D54" i="15"/>
  <c r="E54" i="15"/>
  <c r="C39" i="15"/>
  <c r="D39" i="15"/>
  <c r="E39" i="15"/>
  <c r="C27" i="15"/>
  <c r="D27" i="15"/>
  <c r="E27" i="15"/>
  <c r="E48" i="15"/>
  <c r="D48" i="15"/>
  <c r="C48" i="15"/>
  <c r="D50" i="15"/>
  <c r="E50" i="15"/>
  <c r="C50" i="15"/>
  <c r="D38" i="15"/>
  <c r="E38" i="15"/>
  <c r="C38" i="15"/>
  <c r="D26" i="15"/>
  <c r="E26" i="15"/>
  <c r="C26" i="15"/>
  <c r="C13" i="15"/>
  <c r="D13" i="15"/>
  <c r="E13" i="15"/>
  <c r="D22" i="15"/>
  <c r="C22" i="15"/>
  <c r="E22" i="15"/>
  <c r="C14" i="15"/>
  <c r="E14" i="15"/>
  <c r="D14" i="15"/>
  <c r="D21" i="15"/>
  <c r="E21" i="15"/>
  <c r="C21" i="15"/>
  <c r="D20" i="15"/>
  <c r="C20" i="15"/>
  <c r="E20" i="15"/>
  <c r="E15" i="15"/>
  <c r="C15" i="15"/>
  <c r="D15" i="15"/>
  <c r="E19" i="15"/>
  <c r="C19" i="15"/>
  <c r="D19" i="15"/>
  <c r="E18" i="15"/>
  <c r="C18" i="15"/>
  <c r="D18" i="15"/>
  <c r="E17" i="15"/>
  <c r="D17" i="15"/>
  <c r="C17" i="15"/>
  <c r="E16" i="15"/>
  <c r="C16" i="15"/>
  <c r="D16" i="15"/>
  <c r="D11" i="15"/>
  <c r="E11" i="15"/>
  <c r="C11" i="15"/>
  <c r="E10" i="15"/>
  <c r="D10" i="15"/>
  <c r="C10" i="15"/>
  <c r="C12" i="15"/>
  <c r="D12" i="15"/>
  <c r="E12" i="15"/>
  <c r="D9" i="15"/>
  <c r="E9" i="15"/>
  <c r="C9" i="15"/>
  <c r="D8" i="15"/>
  <c r="E8" i="15"/>
  <c r="C8" i="15"/>
  <c r="D7" i="15"/>
  <c r="C7" i="15"/>
  <c r="E7" i="15"/>
  <c r="E6" i="15"/>
  <c r="C6" i="15"/>
  <c r="D6" i="15"/>
  <c r="E5" i="15"/>
  <c r="C5" i="15"/>
  <c r="D5" i="15"/>
  <c r="E4" i="15"/>
  <c r="C4" i="15"/>
  <c r="D4" i="15"/>
  <c r="D3" i="15"/>
  <c r="E3" i="15"/>
  <c r="C3" i="15"/>
  <c r="G57" i="2"/>
  <c r="A55" i="15"/>
  <c r="G55" i="2" l="1"/>
  <c r="G56" i="2"/>
  <c r="G51" i="15"/>
  <c r="G52" i="15"/>
  <c r="E55" i="15"/>
  <c r="E58" i="15" s="1"/>
  <c r="D55" i="15"/>
  <c r="D58" i="15" s="1"/>
  <c r="C55" i="15"/>
  <c r="E54" i="2"/>
  <c r="F54" i="2" s="1"/>
  <c r="F52" i="2" l="1"/>
  <c r="F6" i="2"/>
  <c r="F46" i="2"/>
  <c r="F36" i="2"/>
  <c r="F47" i="2"/>
  <c r="F44" i="2"/>
  <c r="G49" i="2"/>
  <c r="F50" i="2"/>
  <c r="F41" i="2"/>
  <c r="F49" i="2"/>
  <c r="F48" i="2"/>
  <c r="F37" i="2"/>
  <c r="F39" i="2"/>
  <c r="F45" i="2"/>
  <c r="F33" i="2"/>
  <c r="F43" i="2"/>
  <c r="F30" i="2"/>
  <c r="F5" i="2"/>
  <c r="F7" i="2"/>
  <c r="F15" i="2"/>
  <c r="F9" i="2"/>
  <c r="G15" i="2"/>
  <c r="F11" i="2"/>
  <c r="F31" i="2"/>
  <c r="F18" i="2"/>
  <c r="F25" i="2"/>
  <c r="F24" i="2"/>
  <c r="F27" i="2"/>
  <c r="F42" i="2"/>
  <c r="F35" i="2"/>
  <c r="F32" i="2"/>
  <c r="F40" i="2"/>
  <c r="F28" i="2"/>
  <c r="F38" i="2"/>
  <c r="F14" i="2"/>
  <c r="F19" i="2"/>
  <c r="F10" i="2"/>
  <c r="F12" i="2"/>
  <c r="F16" i="2"/>
  <c r="F17" i="2"/>
  <c r="F34" i="2"/>
  <c r="F21" i="2"/>
  <c r="F23" i="2"/>
  <c r="F26" i="2"/>
  <c r="F22" i="2"/>
  <c r="F20" i="2"/>
  <c r="F13" i="2"/>
  <c r="F8" i="2"/>
  <c r="F29" i="2"/>
  <c r="C58" i="15"/>
  <c r="A3" i="11"/>
  <c r="F3" i="11" s="1"/>
  <c r="A47" i="2" l="1"/>
  <c r="A51" i="2"/>
  <c r="A50" i="2"/>
  <c r="A41" i="2"/>
  <c r="A38" i="2"/>
  <c r="A44" i="2"/>
  <c r="A28" i="2"/>
  <c r="A20" i="2"/>
  <c r="A29" i="2"/>
  <c r="A39" i="2"/>
  <c r="A8" i="2"/>
  <c r="A25" i="2"/>
  <c r="A15" i="2"/>
  <c r="A33" i="2"/>
  <c r="A42" i="2"/>
  <c r="A37" i="2"/>
  <c r="A6" i="2"/>
  <c r="A12" i="2"/>
  <c r="A21" i="2"/>
  <c r="A19" i="2"/>
  <c r="A23" i="2"/>
  <c r="A31" i="2"/>
  <c r="A53" i="2"/>
  <c r="A43" i="2"/>
  <c r="A7" i="2"/>
  <c r="A22" i="2"/>
  <c r="A46" i="2"/>
  <c r="A35" i="2"/>
  <c r="A10" i="2"/>
  <c r="A45" i="2"/>
  <c r="A52" i="2"/>
  <c r="A26" i="2"/>
  <c r="A13" i="2"/>
  <c r="A5" i="2"/>
  <c r="A48" i="2"/>
  <c r="A14" i="2"/>
  <c r="A18" i="2"/>
  <c r="A34" i="2"/>
  <c r="A9" i="2"/>
  <c r="A17" i="2"/>
  <c r="A27" i="2"/>
  <c r="A49" i="2"/>
  <c r="A40" i="2"/>
  <c r="A24" i="2"/>
  <c r="A16" i="2"/>
  <c r="A30" i="2"/>
  <c r="A36" i="2"/>
  <c r="A32" i="2"/>
  <c r="A11" i="2"/>
  <c r="A54" i="2"/>
  <c r="B3" i="11"/>
  <c r="S3" i="11"/>
  <c r="F3" i="19" s="1"/>
  <c r="R3" i="11"/>
  <c r="E3" i="19" s="1"/>
  <c r="Q3" i="11"/>
  <c r="D3" i="19" s="1"/>
  <c r="D41" i="5"/>
  <c r="D40" i="5"/>
  <c r="D39" i="5"/>
  <c r="D38" i="5"/>
  <c r="D26" i="7" l="1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6"/>
  <c r="D47" i="6"/>
  <c r="D48" i="6"/>
  <c r="D49" i="6"/>
  <c r="D46" i="5"/>
  <c r="D47" i="5"/>
  <c r="D48" i="5"/>
  <c r="D49" i="5"/>
  <c r="D42" i="6" l="1"/>
  <c r="D43" i="6"/>
  <c r="D44" i="6"/>
  <c r="D45" i="6"/>
  <c r="D42" i="5"/>
  <c r="D43" i="5"/>
  <c r="D44" i="5"/>
  <c r="D45" i="5"/>
  <c r="G52" i="2"/>
  <c r="G5" i="2"/>
  <c r="G8" i="2"/>
  <c r="G16" i="2"/>
  <c r="G50" i="2"/>
  <c r="G54" i="2"/>
  <c r="G13" i="2" l="1"/>
  <c r="G7" i="2"/>
  <c r="D38" i="6"/>
  <c r="D39" i="6"/>
  <c r="D40" i="6"/>
  <c r="D41" i="6"/>
  <c r="G6" i="2" l="1"/>
  <c r="Q49" i="11" l="1"/>
  <c r="D49" i="19" s="1"/>
  <c r="S49" i="11"/>
  <c r="F49" i="19" s="1"/>
  <c r="R49" i="11"/>
  <c r="E49" i="19" s="1"/>
  <c r="Q46" i="11"/>
  <c r="D46" i="19" s="1"/>
  <c r="R46" i="11"/>
  <c r="E46" i="19" s="1"/>
  <c r="S46" i="11"/>
  <c r="F46" i="19" s="1"/>
  <c r="G47" i="2"/>
  <c r="G42" i="2"/>
  <c r="D50" i="5"/>
  <c r="G58" i="2"/>
  <c r="G17" i="2"/>
  <c r="G51" i="2" l="1"/>
  <c r="G59" i="2"/>
  <c r="G38" i="2"/>
  <c r="G25" i="2"/>
  <c r="R44" i="11" l="1"/>
  <c r="E44" i="19" s="1"/>
  <c r="S44" i="11"/>
  <c r="F44" i="19" s="1"/>
  <c r="Q44" i="11"/>
  <c r="D44" i="19" s="1"/>
  <c r="G18" i="2"/>
  <c r="O6" i="2"/>
  <c r="M31" i="2" l="1"/>
  <c r="C3" i="13" s="1"/>
  <c r="S4" i="2"/>
  <c r="R31" i="2" l="1"/>
  <c r="H3" i="13" s="1"/>
  <c r="A2" i="11"/>
  <c r="D1" i="13" l="1"/>
  <c r="S29" i="2" l="1"/>
  <c r="N29" i="2" s="1"/>
  <c r="N36" i="2" s="1"/>
  <c r="N43" i="2" s="1"/>
  <c r="N50" i="2" s="1"/>
  <c r="N57" i="2" s="1"/>
  <c r="N64" i="2" s="1"/>
  <c r="N71" i="2" s="1"/>
  <c r="I25" i="13"/>
  <c r="D33" i="13"/>
  <c r="I9" i="13"/>
  <c r="I33" i="13"/>
  <c r="I1" i="13"/>
  <c r="D25" i="13"/>
  <c r="D41" i="13"/>
  <c r="D9" i="13"/>
  <c r="I17" i="13"/>
  <c r="I41" i="13"/>
  <c r="Q48" i="11"/>
  <c r="D48" i="19" s="1"/>
  <c r="R48" i="11"/>
  <c r="E48" i="19" s="1"/>
  <c r="S48" i="11"/>
  <c r="F48" i="19" s="1"/>
  <c r="G32" i="2"/>
  <c r="G23" i="2"/>
  <c r="G21" i="2"/>
  <c r="G43" i="2"/>
  <c r="G19" i="2"/>
  <c r="G11" i="2"/>
  <c r="G29" i="2"/>
  <c r="G28" i="2"/>
  <c r="G35" i="2"/>
  <c r="G30" i="2"/>
  <c r="G22" i="2"/>
  <c r="G41" i="2"/>
  <c r="G36" i="2"/>
  <c r="G14" i="2"/>
  <c r="G45" i="2"/>
  <c r="G20" i="2"/>
  <c r="G10" i="2"/>
  <c r="G26" i="2"/>
  <c r="G27" i="2"/>
  <c r="G33" i="2"/>
  <c r="G31" i="2"/>
  <c r="G44" i="2"/>
  <c r="Q22" i="11"/>
  <c r="D22" i="19" s="1"/>
  <c r="R22" i="11"/>
  <c r="E22" i="19" s="1"/>
  <c r="S22" i="11"/>
  <c r="F22" i="19" s="1"/>
  <c r="S32" i="11"/>
  <c r="F32" i="19" s="1"/>
  <c r="S36" i="2" l="1"/>
  <c r="S43" i="2" s="1"/>
  <c r="S50" i="2" s="1"/>
  <c r="S57" i="2" s="1"/>
  <c r="S64" i="2" s="1"/>
  <c r="S71" i="2" s="1"/>
  <c r="R32" i="11"/>
  <c r="E32" i="19" s="1"/>
  <c r="Q32" i="11"/>
  <c r="D32" i="19" s="1"/>
  <c r="Q29" i="11"/>
  <c r="D29" i="19" s="1"/>
  <c r="S36" i="11"/>
  <c r="F36" i="19" s="1"/>
  <c r="Q23" i="11"/>
  <c r="D23" i="19" s="1"/>
  <c r="S23" i="11"/>
  <c r="F23" i="19" s="1"/>
  <c r="R39" i="11"/>
  <c r="E39" i="19" s="1"/>
  <c r="S39" i="11"/>
  <c r="F39" i="19" s="1"/>
  <c r="Q39" i="11"/>
  <c r="D39" i="19" s="1"/>
  <c r="R42" i="11"/>
  <c r="E42" i="19" s="1"/>
  <c r="S42" i="11"/>
  <c r="F42" i="19" s="1"/>
  <c r="Q42" i="11"/>
  <c r="D42" i="19" s="1"/>
  <c r="R43" i="11"/>
  <c r="E43" i="19" s="1"/>
  <c r="Q43" i="11"/>
  <c r="D43" i="19" s="1"/>
  <c r="S43" i="11"/>
  <c r="F43" i="19" s="1"/>
  <c r="Q45" i="11"/>
  <c r="D45" i="19" s="1"/>
  <c r="R45" i="11"/>
  <c r="E45" i="19" s="1"/>
  <c r="S45" i="11"/>
  <c r="F45" i="19" s="1"/>
  <c r="R41" i="11"/>
  <c r="E41" i="19" s="1"/>
  <c r="S41" i="11"/>
  <c r="F41" i="19" s="1"/>
  <c r="Q41" i="11"/>
  <c r="D41" i="19" s="1"/>
  <c r="Q47" i="11"/>
  <c r="D47" i="19" s="1"/>
  <c r="S47" i="11"/>
  <c r="F47" i="19" s="1"/>
  <c r="R47" i="11"/>
  <c r="E47" i="19" s="1"/>
  <c r="R40" i="11"/>
  <c r="E40" i="19" s="1"/>
  <c r="Q40" i="11"/>
  <c r="D40" i="19" s="1"/>
  <c r="S40" i="11"/>
  <c r="F40" i="19" s="1"/>
  <c r="R38" i="11"/>
  <c r="E38" i="19" s="1"/>
  <c r="Q38" i="11"/>
  <c r="D38" i="19" s="1"/>
  <c r="S38" i="11"/>
  <c r="F38" i="19" s="1"/>
  <c r="G40" i="2"/>
  <c r="G34" i="2"/>
  <c r="G9" i="2"/>
  <c r="G48" i="2"/>
  <c r="I47" i="13"/>
  <c r="G37" i="2"/>
  <c r="G24" i="2"/>
  <c r="G46" i="2"/>
  <c r="G12" i="2"/>
  <c r="G39" i="2"/>
  <c r="G53" i="2"/>
  <c r="S29" i="11"/>
  <c r="F29" i="19" s="1"/>
  <c r="Q36" i="11"/>
  <c r="D36" i="19" s="1"/>
  <c r="R23" i="11"/>
  <c r="E23" i="19" s="1"/>
  <c r="Q8" i="11"/>
  <c r="D8" i="19" s="1"/>
  <c r="R29" i="11"/>
  <c r="E29" i="19" s="1"/>
  <c r="S8" i="11"/>
  <c r="F8" i="19" s="1"/>
  <c r="R8" i="11"/>
  <c r="E8" i="19" s="1"/>
  <c r="S31" i="11"/>
  <c r="F31" i="19" s="1"/>
  <c r="Q31" i="11"/>
  <c r="D31" i="19" s="1"/>
  <c r="R31" i="11"/>
  <c r="E31" i="19" s="1"/>
  <c r="R36" i="11"/>
  <c r="E36" i="19" s="1"/>
  <c r="S9" i="11"/>
  <c r="F9" i="19" s="1"/>
  <c r="R9" i="11"/>
  <c r="E9" i="19" s="1"/>
  <c r="Q9" i="11"/>
  <c r="D9" i="19" s="1"/>
  <c r="S26" i="11"/>
  <c r="F26" i="19" s="1"/>
  <c r="Q26" i="11"/>
  <c r="D26" i="19" s="1"/>
  <c r="R26" i="11"/>
  <c r="E26" i="19" s="1"/>
  <c r="Q34" i="11"/>
  <c r="D34" i="19" s="1"/>
  <c r="R34" i="11"/>
  <c r="E34" i="19" s="1"/>
  <c r="S34" i="11"/>
  <c r="F34" i="19" s="1"/>
  <c r="R25" i="11"/>
  <c r="E25" i="19" s="1"/>
  <c r="S25" i="11"/>
  <c r="F25" i="19" s="1"/>
  <c r="Q25" i="11"/>
  <c r="D25" i="19" s="1"/>
  <c r="Q28" i="11"/>
  <c r="D28" i="19" s="1"/>
  <c r="R28" i="11"/>
  <c r="E28" i="19" s="1"/>
  <c r="S28" i="11"/>
  <c r="F28" i="19" s="1"/>
  <c r="Q24" i="11"/>
  <c r="D24" i="19" s="1"/>
  <c r="R24" i="11"/>
  <c r="E24" i="19" s="1"/>
  <c r="S24" i="11"/>
  <c r="F24" i="19" s="1"/>
  <c r="S6" i="11"/>
  <c r="F6" i="19" s="1"/>
  <c r="Q6" i="11"/>
  <c r="D6" i="19" s="1"/>
  <c r="R6" i="11"/>
  <c r="E6" i="19" s="1"/>
  <c r="Q27" i="11"/>
  <c r="D27" i="19" s="1"/>
  <c r="R27" i="11"/>
  <c r="E27" i="19" s="1"/>
  <c r="S27" i="11"/>
  <c r="F27" i="19" s="1"/>
  <c r="Q5" i="11"/>
  <c r="D5" i="19" s="1"/>
  <c r="R5" i="11"/>
  <c r="E5" i="19" s="1"/>
  <c r="S5" i="11"/>
  <c r="F5" i="19" s="1"/>
  <c r="Q4" i="11"/>
  <c r="D4" i="19" s="1"/>
  <c r="R4" i="11"/>
  <c r="E4" i="19" s="1"/>
  <c r="S4" i="11"/>
  <c r="F4" i="19" s="1"/>
  <c r="Q7" i="11"/>
  <c r="D7" i="19" s="1"/>
  <c r="R7" i="11"/>
  <c r="E7" i="19" s="1"/>
  <c r="S7" i="11"/>
  <c r="F7" i="19" s="1"/>
  <c r="Q20" i="11"/>
  <c r="D20" i="19" s="1"/>
  <c r="R20" i="11"/>
  <c r="E20" i="19" s="1"/>
  <c r="S20" i="11"/>
  <c r="F20" i="19" s="1"/>
  <c r="R35" i="11"/>
  <c r="E35" i="19" s="1"/>
  <c r="Q35" i="11"/>
  <c r="D35" i="19" s="1"/>
  <c r="S35" i="11"/>
  <c r="F35" i="19" s="1"/>
  <c r="R19" i="11"/>
  <c r="E19" i="19" s="1"/>
  <c r="Q19" i="11"/>
  <c r="D19" i="19" s="1"/>
  <c r="S19" i="11"/>
  <c r="F19" i="19" s="1"/>
  <c r="S13" i="11"/>
  <c r="F13" i="19" s="1"/>
  <c r="R13" i="11"/>
  <c r="E13" i="19" s="1"/>
  <c r="Q13" i="11"/>
  <c r="D13" i="19" s="1"/>
  <c r="R17" i="11"/>
  <c r="E17" i="19" s="1"/>
  <c r="S17" i="11"/>
  <c r="F17" i="19" s="1"/>
  <c r="Q17" i="11"/>
  <c r="D17" i="19" s="1"/>
  <c r="Q18" i="11"/>
  <c r="D18" i="19" s="1"/>
  <c r="R18" i="11"/>
  <c r="E18" i="19" s="1"/>
  <c r="S18" i="11"/>
  <c r="F18" i="19" s="1"/>
  <c r="Q14" i="11"/>
  <c r="D14" i="19" s="1"/>
  <c r="R14" i="11"/>
  <c r="E14" i="19" s="1"/>
  <c r="S14" i="11"/>
  <c r="F14" i="19" s="1"/>
  <c r="S33" i="11"/>
  <c r="F33" i="19" s="1"/>
  <c r="R33" i="11"/>
  <c r="E33" i="19" s="1"/>
  <c r="Q33" i="11"/>
  <c r="D33" i="19" s="1"/>
  <c r="Q30" i="11"/>
  <c r="D30" i="19" s="1"/>
  <c r="R30" i="11"/>
  <c r="E30" i="19" s="1"/>
  <c r="S30" i="11"/>
  <c r="F30" i="19" s="1"/>
  <c r="R15" i="11"/>
  <c r="E15" i="19" s="1"/>
  <c r="Q15" i="11"/>
  <c r="D15" i="19" s="1"/>
  <c r="S15" i="11"/>
  <c r="F15" i="19" s="1"/>
  <c r="Q16" i="11"/>
  <c r="D16" i="19" s="1"/>
  <c r="R16" i="11"/>
  <c r="E16" i="19" s="1"/>
  <c r="S16" i="11"/>
  <c r="F16" i="19" s="1"/>
  <c r="R21" i="11"/>
  <c r="E21" i="19" s="1"/>
  <c r="S21" i="11"/>
  <c r="F21" i="19" s="1"/>
  <c r="Q21" i="11"/>
  <c r="D21" i="19" s="1"/>
  <c r="R37" i="11"/>
  <c r="E37" i="19" s="1"/>
  <c r="S37" i="11"/>
  <c r="F37" i="19" s="1"/>
  <c r="Q37" i="11"/>
  <c r="D37" i="19" s="1"/>
  <c r="Q12" i="11"/>
  <c r="D12" i="19" s="1"/>
  <c r="R12" i="11"/>
  <c r="E12" i="19" s="1"/>
  <c r="S12" i="11"/>
  <c r="F12" i="19" s="1"/>
  <c r="Q11" i="11"/>
  <c r="D11" i="19" s="1"/>
  <c r="R11" i="11"/>
  <c r="E11" i="19" s="1"/>
  <c r="S11" i="11"/>
  <c r="F11" i="19" s="1"/>
  <c r="R10" i="11"/>
  <c r="E10" i="19" s="1"/>
  <c r="S10" i="11"/>
  <c r="F10" i="19" s="1"/>
  <c r="Q10" i="11"/>
  <c r="D10" i="19" s="1"/>
  <c r="G47" i="13"/>
  <c r="D47" i="13"/>
  <c r="H39" i="13"/>
  <c r="F39" i="13"/>
  <c r="B39" i="13"/>
  <c r="I39" i="13"/>
  <c r="G39" i="13"/>
  <c r="A39" i="13"/>
  <c r="C39" i="13"/>
  <c r="D39" i="13"/>
  <c r="F47" i="13"/>
  <c r="G23" i="13"/>
  <c r="H23" i="13"/>
  <c r="C15" i="13"/>
  <c r="I15" i="13"/>
  <c r="A23" i="13"/>
  <c r="F23" i="13"/>
  <c r="I23" i="13"/>
  <c r="B15" i="13"/>
  <c r="G15" i="13"/>
  <c r="F31" i="13"/>
  <c r="D15" i="13"/>
  <c r="A47" i="13"/>
  <c r="C47" i="13"/>
  <c r="I31" i="13"/>
  <c r="B23" i="13"/>
  <c r="A15" i="13"/>
  <c r="F15" i="13"/>
  <c r="B47" i="13"/>
  <c r="C23" i="13"/>
  <c r="H47" i="13"/>
  <c r="D31" i="13"/>
  <c r="D23" i="13"/>
  <c r="C31" i="13"/>
  <c r="H31" i="13"/>
  <c r="A31" i="13"/>
  <c r="B31" i="13"/>
  <c r="H15" i="13"/>
  <c r="G31" i="13"/>
  <c r="M38" i="2"/>
  <c r="R38" i="2"/>
  <c r="H32" i="19" l="1"/>
  <c r="F51" i="19"/>
  <c r="H47" i="19"/>
  <c r="E51" i="19"/>
  <c r="H4" i="19"/>
  <c r="D51" i="19"/>
  <c r="U32" i="11"/>
  <c r="D1" i="11"/>
  <c r="F1" i="11"/>
  <c r="E1" i="11"/>
  <c r="R45" i="2"/>
  <c r="H11" i="13"/>
  <c r="M45" i="2"/>
  <c r="M52" i="2" s="1"/>
  <c r="C27" i="13" s="1"/>
  <c r="C11" i="13"/>
  <c r="M59" i="2" l="1"/>
  <c r="C19" i="13"/>
  <c r="R52" i="2"/>
  <c r="H19" i="13"/>
  <c r="S66" i="2" l="1"/>
  <c r="I43" i="13" s="1"/>
  <c r="M66" i="2"/>
  <c r="C35" i="13"/>
  <c r="R59" i="2"/>
  <c r="H27" i="13"/>
  <c r="C43" i="13" l="1"/>
  <c r="M73" i="2"/>
  <c r="O15" i="2"/>
  <c r="O12" i="2"/>
  <c r="O20" i="2"/>
  <c r="O17" i="2"/>
  <c r="O13" i="2"/>
  <c r="S52" i="2"/>
  <c r="I27" i="13" s="1"/>
  <c r="S31" i="2"/>
  <c r="I3" i="13" s="1"/>
  <c r="O18" i="2"/>
  <c r="N38" i="2"/>
  <c r="D11" i="13" s="1"/>
  <c r="O14" i="2"/>
  <c r="N31" i="2"/>
  <c r="D3" i="13" s="1"/>
  <c r="O19" i="2"/>
  <c r="R66" i="2"/>
  <c r="H35" i="13"/>
  <c r="H43" i="13" l="1"/>
  <c r="R73" i="2"/>
  <c r="N52" i="2"/>
  <c r="D27" i="13" s="1"/>
  <c r="N45" i="2"/>
  <c r="D19" i="13" s="1"/>
  <c r="S59" i="2"/>
  <c r="I35" i="13" s="1"/>
  <c r="S38" i="2"/>
  <c r="I11" i="13" s="1"/>
  <c r="O10" i="2"/>
  <c r="S45" i="2"/>
  <c r="I19" i="13" s="1"/>
  <c r="O11" i="2"/>
  <c r="N66" i="2"/>
  <c r="D43" i="13" s="1"/>
  <c r="N59" i="2"/>
  <c r="D35" i="13" s="1"/>
  <c r="O16" i="2"/>
  <c r="O9" i="2"/>
  <c r="U4" i="11" l="1"/>
  <c r="P5" i="11"/>
  <c r="B3" i="15"/>
  <c r="G3" i="15" s="1"/>
  <c r="B4" i="15"/>
  <c r="G4" i="15" s="1"/>
  <c r="U5" i="11" l="1"/>
  <c r="C5" i="19"/>
  <c r="H5" i="19" s="1"/>
  <c r="B6" i="15"/>
  <c r="G6" i="15" s="1"/>
  <c r="P7" i="11"/>
  <c r="P10" i="11"/>
  <c r="B9" i="15"/>
  <c r="G9" i="15" s="1"/>
  <c r="U10" i="11" l="1"/>
  <c r="C10" i="19"/>
  <c r="H10" i="19" s="1"/>
  <c r="U7" i="11"/>
  <c r="C7" i="19"/>
  <c r="H7" i="19" s="1"/>
  <c r="P12" i="11"/>
  <c r="B11" i="15"/>
  <c r="G11" i="15" s="1"/>
  <c r="U12" i="11" l="1"/>
  <c r="C12" i="19"/>
  <c r="H12" i="19" s="1"/>
  <c r="P14" i="11"/>
  <c r="B12" i="15"/>
  <c r="G12" i="15" s="1"/>
  <c r="B10" i="15"/>
  <c r="G10" i="15" s="1"/>
  <c r="P13" i="11"/>
  <c r="P11" i="11"/>
  <c r="B13" i="15"/>
  <c r="G13" i="15" s="1"/>
  <c r="U11" i="11" l="1"/>
  <c r="C11" i="19"/>
  <c r="H11" i="19" s="1"/>
  <c r="U13" i="11"/>
  <c r="C13" i="19"/>
  <c r="H13" i="19" s="1"/>
  <c r="U14" i="11"/>
  <c r="C14" i="19"/>
  <c r="H14" i="19" s="1"/>
  <c r="B24" i="15"/>
  <c r="G24" i="15" s="1"/>
  <c r="P24" i="11"/>
  <c r="P25" i="11"/>
  <c r="B27" i="15"/>
  <c r="G27" i="15" s="1"/>
  <c r="B16" i="15"/>
  <c r="G16" i="15" s="1"/>
  <c r="P15" i="11"/>
  <c r="P20" i="11"/>
  <c r="B35" i="15"/>
  <c r="G35" i="15" s="1"/>
  <c r="P31" i="11"/>
  <c r="P16" i="11"/>
  <c r="P37" i="11"/>
  <c r="B19" i="15"/>
  <c r="G19" i="15" s="1"/>
  <c r="B46" i="15"/>
  <c r="G46" i="15" s="1"/>
  <c r="P34" i="11"/>
  <c r="B28" i="15"/>
  <c r="G28" i="15" s="1"/>
  <c r="B36" i="15"/>
  <c r="G36" i="15" s="1"/>
  <c r="P27" i="11"/>
  <c r="B33" i="15"/>
  <c r="G33" i="15" s="1"/>
  <c r="B21" i="15"/>
  <c r="G21" i="15" s="1"/>
  <c r="P30" i="11"/>
  <c r="P18" i="11"/>
  <c r="P17" i="11"/>
  <c r="P28" i="11"/>
  <c r="P46" i="11"/>
  <c r="B20" i="15"/>
  <c r="G20" i="15" s="1"/>
  <c r="P22" i="11"/>
  <c r="B18" i="15"/>
  <c r="G18" i="15" s="1"/>
  <c r="P26" i="11"/>
  <c r="B14" i="15"/>
  <c r="G14" i="15" s="1"/>
  <c r="B31" i="15"/>
  <c r="G31" i="15" s="1"/>
  <c r="P35" i="11"/>
  <c r="B25" i="15"/>
  <c r="G25" i="15" s="1"/>
  <c r="B15" i="15"/>
  <c r="G15" i="15" s="1"/>
  <c r="B29" i="15"/>
  <c r="G29" i="15" s="1"/>
  <c r="P33" i="11"/>
  <c r="B45" i="15"/>
  <c r="G45" i="15" s="1"/>
  <c r="B34" i="15"/>
  <c r="G34" i="15" s="1"/>
  <c r="P47" i="11"/>
  <c r="P19" i="11"/>
  <c r="B23" i="15"/>
  <c r="G23" i="15" s="1"/>
  <c r="P36" i="11"/>
  <c r="B30" i="15"/>
  <c r="G30" i="15" s="1"/>
  <c r="B26" i="15"/>
  <c r="G26" i="15" s="1"/>
  <c r="P29" i="11"/>
  <c r="P23" i="11"/>
  <c r="B22" i="15"/>
  <c r="G22" i="15" s="1"/>
  <c r="P21" i="11"/>
  <c r="B32" i="15"/>
  <c r="G32" i="15" s="1"/>
  <c r="B42" i="15"/>
  <c r="G42" i="15" s="1"/>
  <c r="U22" i="11" l="1"/>
  <c r="C22" i="19"/>
  <c r="H22" i="19" s="1"/>
  <c r="U25" i="11"/>
  <c r="C25" i="19"/>
  <c r="H25" i="19" s="1"/>
  <c r="U21" i="11"/>
  <c r="C21" i="19"/>
  <c r="H21" i="19" s="1"/>
  <c r="U37" i="11"/>
  <c r="C37" i="19"/>
  <c r="H37" i="19" s="1"/>
  <c r="U24" i="11"/>
  <c r="C24" i="19"/>
  <c r="H24" i="19" s="1"/>
  <c r="U33" i="11"/>
  <c r="C33" i="19"/>
  <c r="H33" i="19" s="1"/>
  <c r="U35" i="11"/>
  <c r="C35" i="19"/>
  <c r="H35" i="19" s="1"/>
  <c r="U27" i="11"/>
  <c r="C27" i="19"/>
  <c r="H27" i="19" s="1"/>
  <c r="U16" i="11"/>
  <c r="C16" i="19"/>
  <c r="H16" i="19" s="1"/>
  <c r="U31" i="11"/>
  <c r="C31" i="19"/>
  <c r="H31" i="19" s="1"/>
  <c r="U17" i="11"/>
  <c r="C17" i="19"/>
  <c r="H17" i="19" s="1"/>
  <c r="U19" i="11"/>
  <c r="C19" i="19"/>
  <c r="H19" i="19" s="1"/>
  <c r="U36" i="11"/>
  <c r="C36" i="19"/>
  <c r="H36" i="19" s="1"/>
  <c r="U46" i="11"/>
  <c r="C46" i="19"/>
  <c r="H46" i="19" s="1"/>
  <c r="U28" i="11"/>
  <c r="C28" i="19"/>
  <c r="H28" i="19" s="1"/>
  <c r="U20" i="11"/>
  <c r="C20" i="19"/>
  <c r="H20" i="19" s="1"/>
  <c r="U47" i="11"/>
  <c r="C47" i="19"/>
  <c r="U34" i="11"/>
  <c r="C34" i="19"/>
  <c r="H34" i="19" s="1"/>
  <c r="U26" i="11"/>
  <c r="C26" i="19"/>
  <c r="H26" i="19" s="1"/>
  <c r="U15" i="11"/>
  <c r="C15" i="19"/>
  <c r="H15" i="19" s="1"/>
  <c r="U23" i="11"/>
  <c r="C23" i="19"/>
  <c r="H23" i="19" s="1"/>
  <c r="U18" i="11"/>
  <c r="C18" i="19"/>
  <c r="H18" i="19" s="1"/>
  <c r="U29" i="11"/>
  <c r="C29" i="19"/>
  <c r="H29" i="19" s="1"/>
  <c r="U30" i="11"/>
  <c r="C30" i="19"/>
  <c r="H30" i="19" s="1"/>
  <c r="P40" i="11"/>
  <c r="B7" i="15"/>
  <c r="G7" i="15" s="1"/>
  <c r="B50" i="15"/>
  <c r="G50" i="15" s="1"/>
  <c r="P54" i="11"/>
  <c r="U54" i="11" s="1"/>
  <c r="G2" i="15"/>
  <c r="B56" i="15"/>
  <c r="G56" i="15" s="1"/>
  <c r="B39" i="15"/>
  <c r="G39" i="15" s="1"/>
  <c r="P48" i="11"/>
  <c r="B38" i="15"/>
  <c r="G38" i="15" s="1"/>
  <c r="B44" i="15"/>
  <c r="G44" i="15" s="1"/>
  <c r="P8" i="11"/>
  <c r="P38" i="11"/>
  <c r="B49" i="15"/>
  <c r="G49" i="15" s="1"/>
  <c r="P50" i="11"/>
  <c r="U50" i="11" s="1"/>
  <c r="P6" i="11"/>
  <c r="P39" i="11"/>
  <c r="B5" i="15"/>
  <c r="G5" i="15" s="1"/>
  <c r="P53" i="11"/>
  <c r="U53" i="11" s="1"/>
  <c r="P52" i="11"/>
  <c r="U52" i="11" s="1"/>
  <c r="B53" i="15"/>
  <c r="G53" i="15" s="1"/>
  <c r="P43" i="11"/>
  <c r="B8" i="15"/>
  <c r="G8" i="15" s="1"/>
  <c r="P41" i="11"/>
  <c r="P3" i="11"/>
  <c r="B47" i="15"/>
  <c r="G47" i="15" s="1"/>
  <c r="B37" i="15"/>
  <c r="G37" i="15" s="1"/>
  <c r="B40" i="15"/>
  <c r="G40" i="15" s="1"/>
  <c r="B43" i="15"/>
  <c r="G43" i="15" s="1"/>
  <c r="P51" i="11"/>
  <c r="U51" i="11" s="1"/>
  <c r="B55" i="15"/>
  <c r="G55" i="15" s="1"/>
  <c r="P9" i="11"/>
  <c r="B17" i="15"/>
  <c r="G17" i="15" s="1"/>
  <c r="P44" i="11"/>
  <c r="P42" i="11"/>
  <c r="B54" i="15"/>
  <c r="G54" i="15" s="1"/>
  <c r="P45" i="11"/>
  <c r="B41" i="15"/>
  <c r="G41" i="15" s="1"/>
  <c r="B48" i="15"/>
  <c r="G48" i="15" s="1"/>
  <c r="P49" i="11"/>
  <c r="U42" i="11" l="1"/>
  <c r="C42" i="19"/>
  <c r="H42" i="19" s="1"/>
  <c r="U9" i="11"/>
  <c r="C9" i="19"/>
  <c r="H9" i="19" s="1"/>
  <c r="U48" i="11"/>
  <c r="C48" i="19"/>
  <c r="H48" i="19" s="1"/>
  <c r="U49" i="11"/>
  <c r="C49" i="19"/>
  <c r="H49" i="19" s="1"/>
  <c r="U39" i="11"/>
  <c r="C39" i="19"/>
  <c r="H39" i="19" s="1"/>
  <c r="U41" i="11"/>
  <c r="C41" i="19"/>
  <c r="H41" i="19" s="1"/>
  <c r="U43" i="11"/>
  <c r="C43" i="19"/>
  <c r="H43" i="19" s="1"/>
  <c r="U6" i="11"/>
  <c r="C6" i="19"/>
  <c r="H6" i="19" s="1"/>
  <c r="U8" i="11"/>
  <c r="C8" i="19"/>
  <c r="H8" i="19" s="1"/>
  <c r="U3" i="11"/>
  <c r="C3" i="19"/>
  <c r="U45" i="11"/>
  <c r="C45" i="19"/>
  <c r="H45" i="19" s="1"/>
  <c r="U38" i="11"/>
  <c r="C38" i="19"/>
  <c r="H38" i="19" s="1"/>
  <c r="U44" i="11"/>
  <c r="C44" i="19"/>
  <c r="H44" i="19" s="1"/>
  <c r="U40" i="11"/>
  <c r="C40" i="19"/>
  <c r="H40" i="19" s="1"/>
  <c r="G3" i="11"/>
  <c r="C1" i="11"/>
  <c r="B58" i="15"/>
  <c r="U55" i="11" l="1"/>
  <c r="C51" i="19"/>
  <c r="H3" i="19"/>
  <c r="H51" i="19" s="1"/>
  <c r="F2" i="2" l="1"/>
  <c r="D4" i="2" s="1"/>
  <c r="I25" i="2"/>
  <c r="I26" i="2" s="1"/>
  <c r="I27" i="2" s="1"/>
  <c r="R25" i="2" l="1"/>
  <c r="R27" i="2"/>
  <c r="E4" i="2"/>
  <c r="R26" i="2"/>
  <c r="F3" i="2"/>
  <c r="K6" i="2" l="1"/>
  <c r="B2" i="2"/>
  <c r="C2" i="2" l="1"/>
  <c r="P21" i="2" s="1"/>
  <c r="M76" i="2" s="1"/>
  <c r="P22" i="2" l="1"/>
  <c r="AB56" i="2" s="1"/>
  <c r="M21" i="2"/>
  <c r="L76" i="2" s="1"/>
  <c r="R22" i="2"/>
  <c r="K21" i="2"/>
  <c r="M22" i="2"/>
  <c r="R21" i="2"/>
  <c r="N76" i="2" s="1"/>
  <c r="K22" i="2"/>
  <c r="R76" i="2" l="1"/>
  <c r="AB50" i="2"/>
  <c r="K76" i="2"/>
  <c r="AB55" i="2"/>
  <c r="Q76" i="2"/>
  <c r="S76" i="2"/>
  <c r="AB57" i="2"/>
  <c r="AB54" i="2"/>
  <c r="P76" i="2"/>
  <c r="K20" i="2" l="1"/>
  <c r="M20" i="2"/>
  <c r="R20" i="2"/>
  <c r="P20" i="2"/>
  <c r="R69" i="2" l="1"/>
  <c r="AB48" i="2"/>
  <c r="AB52" i="2"/>
  <c r="AB53" i="2"/>
  <c r="S69" i="2"/>
  <c r="AB49" i="2"/>
  <c r="Q69" i="2"/>
  <c r="AB51" i="2"/>
  <c r="AB47" i="2"/>
  <c r="P69" i="2"/>
  <c r="AB46" i="2"/>
  <c r="K19" i="2" l="1"/>
  <c r="P19" i="2"/>
  <c r="M19" i="2"/>
  <c r="R19" i="2"/>
  <c r="N69" i="2" l="1"/>
  <c r="AB45" i="2"/>
  <c r="L69" i="2"/>
  <c r="AB43" i="2"/>
  <c r="M69" i="2"/>
  <c r="AB44" i="2"/>
  <c r="AB42" i="2"/>
  <c r="K69" i="2"/>
  <c r="B5" i="2" l="1"/>
  <c r="B6" i="2" s="1"/>
  <c r="C5" i="2" l="1"/>
  <c r="K18" i="2" l="1"/>
  <c r="M18" i="2"/>
  <c r="P18" i="2"/>
  <c r="R18" i="2"/>
  <c r="R62" i="2" l="1"/>
  <c r="AB40" i="2"/>
  <c r="AB41" i="2"/>
  <c r="S62" i="2"/>
  <c r="AB38" i="2"/>
  <c r="P62" i="2"/>
  <c r="Q62" i="2"/>
  <c r="AB39" i="2"/>
  <c r="M14" i="2" l="1"/>
  <c r="Q48" i="2" l="1"/>
  <c r="AB23" i="2"/>
  <c r="M9" i="2" l="1"/>
  <c r="AB3" i="2" l="1"/>
  <c r="B7" i="13"/>
  <c r="L34" i="2"/>
  <c r="R9" i="2" l="1"/>
  <c r="AB5" i="2" l="1"/>
  <c r="N34" i="2"/>
  <c r="K9" i="2" l="1"/>
  <c r="A7" i="13" l="1"/>
  <c r="AB2" i="2"/>
  <c r="K34" i="2"/>
  <c r="M16" i="2" l="1"/>
  <c r="R14" i="2"/>
  <c r="R15" i="2"/>
  <c r="M15" i="2"/>
  <c r="P15" i="2"/>
  <c r="P16" i="2"/>
  <c r="K14" i="2"/>
  <c r="P14" i="2"/>
  <c r="R16" i="2"/>
  <c r="K16" i="2"/>
  <c r="K15" i="2"/>
  <c r="R17" i="2"/>
  <c r="K17" i="2"/>
  <c r="M17" i="2"/>
  <c r="P17" i="2"/>
  <c r="Q55" i="2" l="1"/>
  <c r="AB31" i="2"/>
  <c r="AB25" i="2"/>
  <c r="S48" i="2"/>
  <c r="AB29" i="2"/>
  <c r="N55" i="2"/>
  <c r="L55" i="2"/>
  <c r="AB27" i="2"/>
  <c r="AB28" i="2"/>
  <c r="M55" i="2"/>
  <c r="AB32" i="2"/>
  <c r="R55" i="2"/>
  <c r="AB22" i="2"/>
  <c r="P48" i="2"/>
  <c r="R48" i="2"/>
  <c r="AB24" i="2"/>
  <c r="AB33" i="2"/>
  <c r="S55" i="2"/>
  <c r="P55" i="2"/>
  <c r="AB30" i="2"/>
  <c r="AB26" i="2"/>
  <c r="K55" i="2"/>
  <c r="N62" i="2"/>
  <c r="AB37" i="2"/>
  <c r="AB34" i="2"/>
  <c r="K62" i="2"/>
  <c r="L62" i="2"/>
  <c r="AB35" i="2"/>
  <c r="AB36" i="2"/>
  <c r="M62" i="2"/>
  <c r="P9" i="2"/>
  <c r="C7" i="13" l="1"/>
  <c r="D7" i="13"/>
  <c r="M34" i="2"/>
  <c r="AB4" i="2"/>
  <c r="B7" i="2" l="1"/>
  <c r="B8" i="2" l="1"/>
  <c r="B9" i="2" s="1"/>
  <c r="C7" i="2"/>
  <c r="C8" i="2" l="1"/>
  <c r="C9" i="2"/>
  <c r="B10" i="2"/>
  <c r="C10" i="2" l="1"/>
  <c r="B11" i="2"/>
  <c r="B12" i="2" l="1"/>
  <c r="C11" i="2"/>
  <c r="C12" i="2" l="1"/>
  <c r="B13" i="2"/>
  <c r="B14" i="2" l="1"/>
  <c r="C13" i="2"/>
  <c r="C6" i="2"/>
  <c r="C14" i="2" l="1"/>
  <c r="B15" i="2"/>
  <c r="K10" i="2"/>
  <c r="P10" i="2"/>
  <c r="M10" i="2"/>
  <c r="M11" i="2"/>
  <c r="R10" i="2"/>
  <c r="K11" i="2"/>
  <c r="R11" i="2"/>
  <c r="P11" i="2"/>
  <c r="B16" i="2" l="1"/>
  <c r="C15" i="2"/>
  <c r="P34" i="2"/>
  <c r="AB6" i="2"/>
  <c r="F7" i="13"/>
  <c r="AB8" i="2"/>
  <c r="H7" i="13"/>
  <c r="R34" i="2"/>
  <c r="AB7" i="2"/>
  <c r="Q34" i="2"/>
  <c r="G7" i="13"/>
  <c r="AB11" i="2"/>
  <c r="L41" i="2"/>
  <c r="S34" i="2"/>
  <c r="AB9" i="2"/>
  <c r="I7" i="13"/>
  <c r="K41" i="2"/>
  <c r="AB10" i="2"/>
  <c r="N41" i="2"/>
  <c r="AB13" i="2"/>
  <c r="M41" i="2"/>
  <c r="AB12" i="2"/>
  <c r="B17" i="2" l="1"/>
  <c r="C16" i="2"/>
  <c r="C17" i="2" l="1"/>
  <c r="B18" i="2"/>
  <c r="C18" i="2" l="1"/>
  <c r="B19" i="2"/>
  <c r="B20" i="2" l="1"/>
  <c r="C19" i="2"/>
  <c r="C20" i="2" l="1"/>
  <c r="B21" i="2"/>
  <c r="B22" i="2" l="1"/>
  <c r="C21" i="2"/>
  <c r="B23" i="2" l="1"/>
  <c r="C22" i="2"/>
  <c r="B24" i="2" l="1"/>
  <c r="C23" i="2"/>
  <c r="B25" i="2" l="1"/>
  <c r="C24" i="2"/>
  <c r="B26" i="2" l="1"/>
  <c r="C25" i="2"/>
  <c r="B27" i="2" l="1"/>
  <c r="C26" i="2"/>
  <c r="B28" i="2" l="1"/>
  <c r="C27" i="2"/>
  <c r="B29" i="2" l="1"/>
  <c r="C28" i="2"/>
  <c r="B30" i="2" l="1"/>
  <c r="C29" i="2"/>
  <c r="B31" i="2" l="1"/>
  <c r="C30" i="2"/>
  <c r="B32" i="2" l="1"/>
  <c r="C31" i="2"/>
  <c r="B33" i="2" l="1"/>
  <c r="C32" i="2"/>
  <c r="B34" i="2" l="1"/>
  <c r="C33" i="2"/>
  <c r="B35" i="2" l="1"/>
  <c r="C34" i="2"/>
  <c r="B36" i="2" l="1"/>
  <c r="C35" i="2"/>
  <c r="B37" i="2" l="1"/>
  <c r="C36" i="2"/>
  <c r="B38" i="2" l="1"/>
  <c r="C37" i="2"/>
  <c r="B39" i="2" l="1"/>
  <c r="C38" i="2"/>
  <c r="B40" i="2" l="1"/>
  <c r="C39" i="2"/>
  <c r="B41" i="2" l="1"/>
  <c r="C40" i="2"/>
  <c r="B42" i="2" l="1"/>
  <c r="C41" i="2"/>
  <c r="B43" i="2" l="1"/>
  <c r="C42" i="2"/>
  <c r="B44" i="2" l="1"/>
  <c r="C43" i="2"/>
  <c r="B45" i="2" l="1"/>
  <c r="C44" i="2"/>
  <c r="B46" i="2" l="1"/>
  <c r="C45" i="2"/>
  <c r="B47" i="2" l="1"/>
  <c r="C46" i="2"/>
  <c r="B48" i="2" l="1"/>
  <c r="C47" i="2"/>
  <c r="B49" i="2" l="1"/>
  <c r="C48" i="2"/>
  <c r="B50" i="2" l="1"/>
  <c r="C49" i="2"/>
  <c r="P12" i="2"/>
  <c r="R13" i="2"/>
  <c r="R12" i="2"/>
  <c r="K13" i="2"/>
  <c r="M12" i="2"/>
  <c r="K12" i="2"/>
  <c r="P13" i="2"/>
  <c r="M13" i="2"/>
  <c r="B51" i="2" l="1"/>
  <c r="C50" i="2"/>
  <c r="AB16" i="2"/>
  <c r="R41" i="2"/>
  <c r="AB21" i="2"/>
  <c r="N48" i="2"/>
  <c r="AB17" i="2"/>
  <c r="S41" i="2"/>
  <c r="K48" i="2"/>
  <c r="AB18" i="2"/>
  <c r="Q41" i="2"/>
  <c r="AB15" i="2"/>
  <c r="P41" i="2"/>
  <c r="AB14" i="2"/>
  <c r="M48" i="2"/>
  <c r="AB20" i="2"/>
  <c r="AB19" i="2"/>
  <c r="L48" i="2"/>
  <c r="B52" i="2" l="1"/>
  <c r="C51" i="2"/>
  <c r="C52" i="2" l="1"/>
  <c r="B53" i="2"/>
  <c r="B54" i="2" l="1"/>
  <c r="C53" i="2"/>
  <c r="B55" i="2" l="1"/>
  <c r="C54" i="2"/>
  <c r="B56" i="2" l="1"/>
  <c r="C55" i="2"/>
  <c r="B57" i="2" l="1"/>
  <c r="C56" i="2"/>
  <c r="B58" i="2" l="1"/>
  <c r="C57" i="2"/>
  <c r="B59" i="2" l="1"/>
  <c r="C59" i="2" s="1"/>
  <c r="C58" i="2"/>
</calcChain>
</file>

<file path=xl/sharedStrings.xml><?xml version="1.0" encoding="utf-8"?>
<sst xmlns="http://schemas.openxmlformats.org/spreadsheetml/2006/main" count="800" uniqueCount="295">
  <si>
    <t>Uitgeloot:</t>
  </si>
  <si>
    <t>RESERVE</t>
  </si>
  <si>
    <t>Letter = Niet spelen</t>
  </si>
  <si>
    <t>Jacqueline</t>
  </si>
  <si>
    <t>spelers</t>
  </si>
  <si>
    <t xml:space="preserve"> tafels</t>
  </si>
  <si>
    <t>SpelRonde</t>
  </si>
  <si>
    <t>#</t>
  </si>
  <si>
    <t>#Reserve</t>
  </si>
  <si>
    <t>G = Geen klassement</t>
  </si>
  <si>
    <t>Daniel</t>
  </si>
  <si>
    <t>Wim</t>
  </si>
  <si>
    <t>Simonne</t>
  </si>
  <si>
    <t>Lucien</t>
  </si>
  <si>
    <t>Hubert</t>
  </si>
  <si>
    <t>Walter</t>
  </si>
  <si>
    <t>Patrick</t>
  </si>
  <si>
    <t>Herman</t>
  </si>
  <si>
    <t>Michel</t>
  </si>
  <si>
    <t>Nestor</t>
  </si>
  <si>
    <t>Freddy</t>
  </si>
  <si>
    <t>Marleen</t>
  </si>
  <si>
    <t>Regina</t>
  </si>
  <si>
    <t>Jacques</t>
  </si>
  <si>
    <t>Roger</t>
  </si>
  <si>
    <t>Chris</t>
  </si>
  <si>
    <t>Daniella</t>
  </si>
  <si>
    <t>Francine</t>
  </si>
  <si>
    <t>Pol</t>
  </si>
  <si>
    <t>Ordenen ledenlijst op voornaam:</t>
  </si>
  <si>
    <t>Ctrl-Shift-S</t>
  </si>
  <si>
    <t>Geubels</t>
  </si>
  <si>
    <t>Bogaert</t>
  </si>
  <si>
    <t>Geen ptn</t>
  </si>
  <si>
    <t>Eerste blad apart afdrukken !!!</t>
  </si>
  <si>
    <t>Ronde 4</t>
  </si>
  <si>
    <t>Ronde 2</t>
  </si>
  <si>
    <t>Ronde 3</t>
  </si>
  <si>
    <t>Dirk</t>
  </si>
  <si>
    <t>De Brabander</t>
  </si>
  <si>
    <t>Van Veirdeghem</t>
  </si>
  <si>
    <t>Info Macro's</t>
  </si>
  <si>
    <t>Loting</t>
  </si>
  <si>
    <t xml:space="preserve"> Reset1_2_3_4</t>
  </si>
  <si>
    <t>Module 1</t>
  </si>
  <si>
    <t>Module 2</t>
  </si>
  <si>
    <t>Module 3</t>
  </si>
  <si>
    <t>Module 14</t>
  </si>
  <si>
    <t>Ronde</t>
  </si>
  <si>
    <t>Filip</t>
  </si>
  <si>
    <t>Dejans</t>
  </si>
  <si>
    <t>ronde1</t>
  </si>
  <si>
    <t>Pt</t>
  </si>
  <si>
    <t>Da</t>
  </si>
  <si>
    <t>Tony</t>
  </si>
  <si>
    <t>Criel</t>
  </si>
  <si>
    <t>Scores ronde1 en 2per tafel naar klassement</t>
  </si>
  <si>
    <t>Scores ronde 3 en 4 per tafel naar klassement</t>
  </si>
  <si>
    <t xml:space="preserve">Module 9  </t>
  </si>
  <si>
    <t>Ctrl + Shift + L</t>
  </si>
  <si>
    <t>pt</t>
  </si>
  <si>
    <t xml:space="preserve">  </t>
  </si>
  <si>
    <t>3. Ctrl + p   en print de pagina's af</t>
  </si>
  <si>
    <t>2. Klik op knop "Loting</t>
  </si>
  <si>
    <t>JeanM.</t>
  </si>
  <si>
    <t>Tollenaere</t>
  </si>
  <si>
    <t>Marguerite</t>
  </si>
  <si>
    <t>Van Hende</t>
  </si>
  <si>
    <t>Georges</t>
  </si>
  <si>
    <t>ctrl+e</t>
  </si>
  <si>
    <t>ctrl+t</t>
  </si>
  <si>
    <t>ctrl+d</t>
  </si>
  <si>
    <t>ctrl+f</t>
  </si>
  <si>
    <t>ronde2</t>
  </si>
  <si>
    <t>ronde3</t>
  </si>
  <si>
    <t>ronde4</t>
  </si>
  <si>
    <t>Brigitte</t>
  </si>
  <si>
    <t>Raeymaekers</t>
  </si>
  <si>
    <t>Cuppens</t>
  </si>
  <si>
    <t>Vanhalewyn</t>
  </si>
  <si>
    <t>Saveyn</t>
  </si>
  <si>
    <t>Thienpont</t>
  </si>
  <si>
    <t>Moerman</t>
  </si>
  <si>
    <t>Buysse</t>
  </si>
  <si>
    <t>Verplaetse</t>
  </si>
  <si>
    <t>De Meester</t>
  </si>
  <si>
    <t>Van Peteghem</t>
  </si>
  <si>
    <t>Denert</t>
  </si>
  <si>
    <t>Van Laere</t>
  </si>
  <si>
    <t>Meirte</t>
  </si>
  <si>
    <t>Geys</t>
  </si>
  <si>
    <t>Callebert</t>
  </si>
  <si>
    <t>De Pauw</t>
  </si>
  <si>
    <t>Schietse</t>
  </si>
  <si>
    <t>Pauwels</t>
  </si>
  <si>
    <t>Lutgarde</t>
  </si>
  <si>
    <t>Vanderhaegen</t>
  </si>
  <si>
    <t>sept</t>
  </si>
  <si>
    <t>okt</t>
  </si>
  <si>
    <t>nov</t>
  </si>
  <si>
    <t>dec</t>
  </si>
  <si>
    <t>jan</t>
  </si>
  <si>
    <t>feb</t>
  </si>
  <si>
    <t>maart</t>
  </si>
  <si>
    <t>april</t>
  </si>
  <si>
    <t>mei</t>
  </si>
  <si>
    <t>juni</t>
  </si>
  <si>
    <t>Reserven</t>
  </si>
  <si>
    <t>gespeeld</t>
  </si>
  <si>
    <t>R1</t>
  </si>
  <si>
    <t>R2</t>
  </si>
  <si>
    <t>R3</t>
  </si>
  <si>
    <t>R4</t>
  </si>
  <si>
    <t>Totaal</t>
  </si>
  <si>
    <t>DAMES</t>
  </si>
  <si>
    <t>Etienne</t>
  </si>
  <si>
    <t>A</t>
  </si>
  <si>
    <t>Julien</t>
  </si>
  <si>
    <t>Christiane</t>
  </si>
  <si>
    <t>Roger Schietse</t>
  </si>
  <si>
    <t>Dames</t>
  </si>
  <si>
    <t>Herrebaut</t>
  </si>
  <si>
    <t>De Maesschalck</t>
  </si>
  <si>
    <t>Ronde 1</t>
  </si>
  <si>
    <t>Aantal spelers</t>
  </si>
  <si>
    <t xml:space="preserve"> </t>
  </si>
  <si>
    <t>Datum</t>
  </si>
  <si>
    <t xml:space="preserve">Ctrl-Shift-R : </t>
  </si>
  <si>
    <t>resetLijst</t>
  </si>
  <si>
    <t>4. Klik op Ronde1</t>
  </si>
  <si>
    <t>Controle</t>
  </si>
  <si>
    <t>Herhaal vanaf nr.2 voor de andere rondes</t>
  </si>
  <si>
    <t>ctrl + shift + W</t>
  </si>
  <si>
    <t>ResetLoting  Ctrl + Shift + R</t>
  </si>
  <si>
    <t>SorteerLijst Ctrl + Shift + S</t>
  </si>
  <si>
    <t>Simonne Pauwels</t>
  </si>
  <si>
    <t>Index maand:</t>
  </si>
  <si>
    <t>4. Klik op knop "Ronde1"</t>
  </si>
  <si>
    <t>Tafel</t>
  </si>
  <si>
    <t>Nr</t>
  </si>
  <si>
    <t>kies</t>
  </si>
  <si>
    <t>nr reserven</t>
  </si>
  <si>
    <t>Nr tafels</t>
  </si>
  <si>
    <t>verwijder indien geen klassement</t>
  </si>
  <si>
    <t>Biasino</t>
  </si>
  <si>
    <t>Willy</t>
  </si>
  <si>
    <t>Marc</t>
  </si>
  <si>
    <t>Suzanne</t>
  </si>
  <si>
    <t>Gina</t>
  </si>
  <si>
    <t>Van Den Bossche</t>
  </si>
  <si>
    <t>Duwyn</t>
  </si>
  <si>
    <t>Ediers</t>
  </si>
  <si>
    <t>Van Helleputte</t>
  </si>
  <si>
    <t>Muijters</t>
  </si>
  <si>
    <t>Geordend - voor ronde1,2,3,4</t>
  </si>
  <si>
    <t>TOTAAL</t>
  </si>
  <si>
    <t>DAGTOTAAL</t>
  </si>
  <si>
    <t>september</t>
  </si>
  <si>
    <t>oktober</t>
  </si>
  <si>
    <t>november</t>
  </si>
  <si>
    <t>december</t>
  </si>
  <si>
    <t>januari</t>
  </si>
  <si>
    <t>februari</t>
  </si>
  <si>
    <t>Scheir</t>
  </si>
  <si>
    <t>Ivan</t>
  </si>
  <si>
    <t>Alles terug op "A"</t>
  </si>
  <si>
    <t>Ctrl + Shift + D</t>
  </si>
  <si>
    <t>Code</t>
  </si>
  <si>
    <t># spellen</t>
  </si>
  <si>
    <t xml:space="preserve">   3      of       4</t>
  </si>
  <si>
    <t>RESET ALL</t>
  </si>
  <si>
    <t>Ctrl + P</t>
  </si>
  <si>
    <t>print scoreblaadjes</t>
  </si>
  <si>
    <t>Jozef</t>
  </si>
  <si>
    <t>Van Landeghem</t>
  </si>
  <si>
    <t>Desante</t>
  </si>
  <si>
    <t>R</t>
  </si>
  <si>
    <t>Rita</t>
  </si>
  <si>
    <t>1. Brigitte Raeymaekers: 12</t>
  </si>
  <si>
    <t>2. JeanM. Van Veirdeghem: 7</t>
  </si>
  <si>
    <t>3. Etienne Saveyn: 6</t>
  </si>
  <si>
    <t>4. Ivan Scheir: 6</t>
  </si>
  <si>
    <t>5. Walter Saveyn: 6</t>
  </si>
  <si>
    <t>6. Christiane De Maesschalck: 5</t>
  </si>
  <si>
    <t>7. Daniel Bogaert: 5</t>
  </si>
  <si>
    <t>8. Dirk Desante: 5</t>
  </si>
  <si>
    <t>9. Filip Dejans: 5</t>
  </si>
  <si>
    <t>10. Francine Thienpont: 5</t>
  </si>
  <si>
    <t>11. Hubert Verplaetse: 5</t>
  </si>
  <si>
    <t>12. Julien Herrebaut: 5</t>
  </si>
  <si>
    <t>13. Marleen Denert: 5</t>
  </si>
  <si>
    <t>14. Roger Schietse: 5</t>
  </si>
  <si>
    <t>15. Stan Astaes: 5</t>
  </si>
  <si>
    <t>16. Suzanne Muijters: 5</t>
  </si>
  <si>
    <t>17. Georges Tollenaere: 4</t>
  </si>
  <si>
    <t>18. Jozef Van Landeghem: 4</t>
  </si>
  <si>
    <t>19. Marc Ediers: 4</t>
  </si>
  <si>
    <t>20. Marguerite Van Hende: 4</t>
  </si>
  <si>
    <t>21. Roger Van Peteghem: 4</t>
  </si>
  <si>
    <t>22. Tony Criel: 4</t>
  </si>
  <si>
    <t>23. Wim Van Peteghem: 4</t>
  </si>
  <si>
    <t>24. Daniella Vanhalewyn: 3</t>
  </si>
  <si>
    <t>25. Jacques De Meester: 3</t>
  </si>
  <si>
    <t>26. Lutgarde Vanderhaegen: 3</t>
  </si>
  <si>
    <t>27. Patrick Geys: 3</t>
  </si>
  <si>
    <t>28. Philippe Vergote: 3</t>
  </si>
  <si>
    <t>29. Rita Van Helleputte: 3</t>
  </si>
  <si>
    <t>30. Dirk De Brabander: 2</t>
  </si>
  <si>
    <t>31. Lucien Van Peteghem: 2</t>
  </si>
  <si>
    <t>32. Nestor Meirte: 2</t>
  </si>
  <si>
    <t>33. Rik Malfliet: 2</t>
  </si>
  <si>
    <t>34. Simonne Pauwels: 2</t>
  </si>
  <si>
    <t>35. Willy Duwyn: 2</t>
  </si>
  <si>
    <t>36. Herman Buysse: 1</t>
  </si>
  <si>
    <t>37. Jacqueline Geubels: 1</t>
  </si>
  <si>
    <t>38. Chris Cuppens: 0</t>
  </si>
  <si>
    <t>39. Freddy Moerman: 0</t>
  </si>
  <si>
    <t>40. Gina Van Den Bossche: 0</t>
  </si>
  <si>
    <t>41. Lydie Ysveld: 0</t>
  </si>
  <si>
    <t>42. Michel Van Laere: 0</t>
  </si>
  <si>
    <t>43. Pol Callebert: 0</t>
  </si>
  <si>
    <t>44. Regina De Pauw: 0</t>
  </si>
  <si>
    <t>45. Rosane Biasino: 0</t>
  </si>
  <si>
    <t>Johan</t>
  </si>
  <si>
    <t>Saey</t>
  </si>
  <si>
    <t>Frans</t>
  </si>
  <si>
    <t>Catteeuw</t>
  </si>
  <si>
    <t>Som aantal</t>
  </si>
  <si>
    <t>Brigitte Raeymaekers</t>
  </si>
  <si>
    <t>Dirk Desante</t>
  </si>
  <si>
    <t>Ivan Scheir</t>
  </si>
  <si>
    <t>Filip Dejans</t>
  </si>
  <si>
    <t>Christiane De Maesschalck</t>
  </si>
  <si>
    <t>Gina Van Den Bossche</t>
  </si>
  <si>
    <t>Dirk De Brabander</t>
  </si>
  <si>
    <t>Chris Cuppens</t>
  </si>
  <si>
    <t>Daniel Bogaert</t>
  </si>
  <si>
    <t>Etienne Saveyn</t>
  </si>
  <si>
    <t>Herman Buysse</t>
  </si>
  <si>
    <t>Julien Herrebaut</t>
  </si>
  <si>
    <t>Jozef Van Landeghem</t>
  </si>
  <si>
    <t>Freddy Moerman</t>
  </si>
  <si>
    <t>Francine Thienpont</t>
  </si>
  <si>
    <t>Rosane</t>
  </si>
  <si>
    <t>Rosane Biasino</t>
  </si>
  <si>
    <t>Suzanne Muijters</t>
  </si>
  <si>
    <t>Lucien Van Peteghem</t>
  </si>
  <si>
    <t>Nestor Meirte</t>
  </si>
  <si>
    <t>Regina De Pauw</t>
  </si>
  <si>
    <t>Marc Ediers</t>
  </si>
  <si>
    <t>Walter Saveyn</t>
  </si>
  <si>
    <t>Patrick Geys</t>
  </si>
  <si>
    <t>Roger Van Peteghem</t>
  </si>
  <si>
    <t>Marleen Denert</t>
  </si>
  <si>
    <t>Tony Criel</t>
  </si>
  <si>
    <t>Willy Duwyn</t>
  </si>
  <si>
    <t>Lutgarde Vanderhaegen</t>
  </si>
  <si>
    <t>Van der Sypt</t>
  </si>
  <si>
    <t>Van Severen</t>
  </si>
  <si>
    <t>Frans Catteeuw</t>
  </si>
  <si>
    <t>Pol Callebert</t>
  </si>
  <si>
    <t>Daniella Vanhalewyn</t>
  </si>
  <si>
    <t>Jeroom</t>
  </si>
  <si>
    <t>Jacqueline Geubels</t>
  </si>
  <si>
    <t>Korte naam</t>
  </si>
  <si>
    <t>a</t>
  </si>
  <si>
    <t>aa</t>
  </si>
  <si>
    <t>Fiers</t>
  </si>
  <si>
    <t>Jeroom Van Severen</t>
  </si>
  <si>
    <t>Michel Van Laere</t>
  </si>
  <si>
    <t>Christiane Van der Sypt</t>
  </si>
  <si>
    <t>Alfrida Fiers</t>
  </si>
  <si>
    <t>Patrick Van De Kerckhove</t>
  </si>
  <si>
    <t/>
  </si>
  <si>
    <t xml:space="preserve">Zannie </t>
  </si>
  <si>
    <t>Vande Kerckhove</t>
  </si>
  <si>
    <t>Alfreda</t>
  </si>
  <si>
    <t xml:space="preserve">Stan </t>
  </si>
  <si>
    <t>Astaes</t>
  </si>
  <si>
    <t xml:space="preserve">ZZAnie </t>
  </si>
  <si>
    <t>Leijman</t>
  </si>
  <si>
    <t>2026000000039</t>
  </si>
  <si>
    <t>2026000000053</t>
  </si>
  <si>
    <t>2026000000060</t>
  </si>
  <si>
    <t>2025368406873</t>
  </si>
  <si>
    <t>Lydie</t>
  </si>
  <si>
    <t>Ysveld</t>
  </si>
  <si>
    <t>Drankkaart</t>
  </si>
  <si>
    <t>27 april 2026</t>
  </si>
  <si>
    <t>Miek</t>
  </si>
  <si>
    <t>Dedeurwaerder</t>
  </si>
  <si>
    <t>Marguerite Van Hende</t>
  </si>
  <si>
    <t>JeanM. Van Veirdeghem</t>
  </si>
  <si>
    <t>Jacques De Meester</t>
  </si>
  <si>
    <t>Hubert Verplaetse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</si>
</sst>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\ yy"/>
    <numFmt numFmtId="165" formatCode="mmm/yyyy"/>
    <numFmt numFmtId="166" formatCode="[$-813]d\ mmmm\ yyyy;@"/>
    <numFmt numFmtId="167" formatCode="[$-813]dd\-mmm\-yy;@"/>
    <numFmt numFmtId="168" formatCode="#,##0\ [$€-1];[Red]\-#,##0\ [$€-1]"/>
  </numFmts>
  <fonts count="59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 Narrow"/>
      <family val="2"/>
    </font>
    <font>
      <sz val="9"/>
      <name val="Arial"/>
      <family val="2"/>
    </font>
    <font>
      <sz val="10"/>
      <name val="Abadi MT Condensed Light"/>
      <family val="2"/>
    </font>
    <font>
      <b/>
      <sz val="10"/>
      <name val="Abadi MT Condensed Light"/>
      <family val="2"/>
    </font>
    <font>
      <sz val="10"/>
      <name val="Arial"/>
      <family val="2"/>
    </font>
    <font>
      <b/>
      <sz val="14"/>
      <name val="Arial Narrow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badi MT Condensed Light"/>
      <family val="2"/>
    </font>
    <font>
      <b/>
      <sz val="12"/>
      <name val="Abadi MT Condensed Light"/>
      <family val="2"/>
    </font>
    <font>
      <b/>
      <sz val="12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sz val="10"/>
      <color indexed="60"/>
      <name val="Arial"/>
      <family val="2"/>
    </font>
    <font>
      <sz val="9"/>
      <color indexed="6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name val="Arial Narrow"/>
      <family val="2"/>
    </font>
    <font>
      <b/>
      <sz val="10"/>
      <name val="Abadi MT Condensed Light"/>
      <family val="2"/>
    </font>
    <font>
      <sz val="11"/>
      <name val="Calibri"/>
      <family val="2"/>
      <scheme val="minor"/>
    </font>
    <font>
      <b/>
      <sz val="14"/>
      <color theme="0"/>
      <name val="Berlin Sans FB Demi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rgb="FFFF000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20"/>
      <name val="Arial"/>
      <family val="2"/>
    </font>
    <font>
      <b/>
      <sz val="20"/>
      <name val="Abadi MT Condensed Light"/>
      <family val="2"/>
    </font>
    <font>
      <sz val="12"/>
      <name val="AmerType Md BT"/>
      <family val="1"/>
    </font>
    <font>
      <sz val="14"/>
      <name val="Berlin Sans FB Demi"/>
      <family val="2"/>
    </font>
    <font>
      <b/>
      <sz val="12"/>
      <name val="AmerType Md BT"/>
    </font>
    <font>
      <sz val="12"/>
      <name val="Abadi MT Condensed Light"/>
      <family val="2"/>
    </font>
    <font>
      <sz val="10"/>
      <color rgb="FFFF0000"/>
      <name val="Arial"/>
      <family val="2"/>
    </font>
    <font>
      <b/>
      <sz val="12"/>
      <color rgb="FFFF0000"/>
      <name val="AmerType Md BT"/>
      <family val="1"/>
    </font>
    <font>
      <sz val="11"/>
      <name val="Arial"/>
      <family val="2"/>
    </font>
    <font>
      <sz val="10"/>
      <name val="Calibri"/>
      <family val="2"/>
    </font>
    <font>
      <sz val="14"/>
      <name val="Calibri"/>
      <family val="2"/>
    </font>
    <font>
      <b/>
      <sz val="8"/>
      <name val="Arial"/>
      <family val="2"/>
    </font>
    <font>
      <sz val="14"/>
      <name val="Arial Narrow"/>
      <family val="2"/>
    </font>
    <font>
      <sz val="11"/>
      <name val="Abadi MT Condensed Light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b/>
      <sz val="22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BC60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A4006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07">
    <xf numFmtId="0" fontId="0" fillId="0" borderId="0" xfId="0"/>
    <xf numFmtId="0" fontId="5" fillId="0" borderId="0" xfId="0" applyFont="1"/>
    <xf numFmtId="0" fontId="6" fillId="0" borderId="0" xfId="0" applyFont="1"/>
    <xf numFmtId="0" fontId="3" fillId="0" borderId="0" xfId="0" applyFont="1"/>
    <xf numFmtId="0" fontId="4" fillId="0" borderId="1" xfId="0" applyFont="1" applyBorder="1"/>
    <xf numFmtId="0" fontId="0" fillId="3" borderId="2" xfId="0" applyFill="1" applyBorder="1" applyProtection="1">
      <protection locked="0"/>
    </xf>
    <xf numFmtId="0" fontId="4" fillId="0" borderId="0" xfId="0" applyFont="1"/>
    <xf numFmtId="0" fontId="1" fillId="0" borderId="0" xfId="0" applyFont="1"/>
    <xf numFmtId="0" fontId="6" fillId="0" borderId="0" xfId="0" applyFont="1" applyAlignment="1">
      <alignment horizontal="right"/>
    </xf>
    <xf numFmtId="0" fontId="11" fillId="0" borderId="0" xfId="0" applyFont="1"/>
    <xf numFmtId="0" fontId="2" fillId="0" borderId="0" xfId="0" applyFont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4" borderId="2" xfId="0" applyFill="1" applyBorder="1"/>
    <xf numFmtId="0" fontId="7" fillId="0" borderId="0" xfId="0" applyFont="1"/>
    <xf numFmtId="0" fontId="0" fillId="0" borderId="2" xfId="0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3" borderId="5" xfId="0" applyFont="1" applyFill="1" applyBorder="1" applyAlignment="1" applyProtection="1">
      <alignment horizontal="center"/>
      <protection locked="0"/>
    </xf>
    <xf numFmtId="0" fontId="7" fillId="0" borderId="2" xfId="0" applyFont="1" applyBorder="1"/>
    <xf numFmtId="0" fontId="0" fillId="0" borderId="2" xfId="0" applyBorder="1"/>
    <xf numFmtId="0" fontId="5" fillId="0" borderId="2" xfId="0" applyFont="1" applyBorder="1"/>
    <xf numFmtId="0" fontId="5" fillId="6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7" fillId="4" borderId="6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4" borderId="6" xfId="0" applyFill="1" applyBorder="1" applyProtection="1">
      <protection locked="0"/>
    </xf>
    <xf numFmtId="0" fontId="9" fillId="8" borderId="10" xfId="0" applyFont="1" applyFill="1" applyBorder="1" applyAlignment="1" applyProtection="1">
      <alignment horizontal="center"/>
      <protection locked="0"/>
    </xf>
    <xf numFmtId="0" fontId="9" fillId="3" borderId="8" xfId="0" applyFont="1" applyFill="1" applyBorder="1" applyAlignment="1" applyProtection="1">
      <alignment horizontal="center"/>
      <protection locked="0"/>
    </xf>
    <xf numFmtId="0" fontId="2" fillId="8" borderId="11" xfId="0" applyFont="1" applyFill="1" applyBorder="1"/>
    <xf numFmtId="0" fontId="15" fillId="8" borderId="12" xfId="0" applyFont="1" applyFill="1" applyBorder="1"/>
    <xf numFmtId="0" fontId="2" fillId="8" borderId="13" xfId="0" applyFont="1" applyFill="1" applyBorder="1"/>
    <xf numFmtId="0" fontId="15" fillId="8" borderId="14" xfId="0" applyFont="1" applyFill="1" applyBorder="1"/>
    <xf numFmtId="0" fontId="21" fillId="7" borderId="15" xfId="0" applyFont="1" applyFill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9" fillId="5" borderId="0" xfId="0" applyFont="1" applyFill="1"/>
    <xf numFmtId="164" fontId="6" fillId="0" borderId="0" xfId="0" applyNumberFormat="1" applyFont="1" applyAlignment="1">
      <alignment horizontal="right"/>
    </xf>
    <xf numFmtId="0" fontId="23" fillId="0" borderId="0" xfId="0" applyFont="1"/>
    <xf numFmtId="0" fontId="22" fillId="0" borderId="0" xfId="0" applyFont="1" applyAlignment="1">
      <alignment horizontal="center"/>
    </xf>
    <xf numFmtId="164" fontId="12" fillId="0" borderId="0" xfId="0" applyNumberFormat="1" applyFont="1" applyAlignment="1">
      <alignment horizontal="right"/>
    </xf>
    <xf numFmtId="0" fontId="10" fillId="6" borderId="16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7" fillId="0" borderId="17" xfId="0" applyFont="1" applyBorder="1"/>
    <xf numFmtId="0" fontId="2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18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10" borderId="0" xfId="0" applyFont="1" applyFill="1"/>
    <xf numFmtId="0" fontId="18" fillId="0" borderId="0" xfId="0" applyFont="1" applyAlignment="1">
      <alignment horizontal="center" vertic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19" xfId="0" applyBorder="1"/>
    <xf numFmtId="0" fontId="8" fillId="2" borderId="23" xfId="0" applyFont="1" applyFill="1" applyBorder="1"/>
    <xf numFmtId="0" fontId="3" fillId="0" borderId="23" xfId="0" applyFont="1" applyBorder="1"/>
    <xf numFmtId="0" fontId="5" fillId="0" borderId="23" xfId="0" applyFont="1" applyBorder="1"/>
    <xf numFmtId="0" fontId="19" fillId="0" borderId="23" xfId="0" applyFont="1" applyBorder="1"/>
    <xf numFmtId="0" fontId="11" fillId="0" borderId="23" xfId="0" applyFont="1" applyBorder="1"/>
    <xf numFmtId="0" fontId="1" fillId="0" borderId="2" xfId="0" applyFont="1" applyBorder="1" applyAlignment="1">
      <alignment vertical="center"/>
    </xf>
    <xf numFmtId="0" fontId="10" fillId="6" borderId="2" xfId="0" applyFont="1" applyFill="1" applyBorder="1" applyAlignment="1" applyProtection="1">
      <alignment horizontal="center"/>
      <protection locked="0"/>
    </xf>
    <xf numFmtId="0" fontId="1" fillId="0" borderId="23" xfId="0" applyFont="1" applyBorder="1"/>
    <xf numFmtId="0" fontId="8" fillId="0" borderId="24" xfId="0" applyFont="1" applyBorder="1" applyAlignment="1">
      <alignment horizontal="center"/>
    </xf>
    <xf numFmtId="0" fontId="20" fillId="0" borderId="23" xfId="0" applyFont="1" applyBorder="1"/>
    <xf numFmtId="0" fontId="6" fillId="0" borderId="23" xfId="0" applyFont="1" applyBorder="1"/>
    <xf numFmtId="0" fontId="1" fillId="0" borderId="0" xfId="0" applyFont="1" applyAlignment="1">
      <alignment horizontal="left"/>
    </xf>
    <xf numFmtId="0" fontId="7" fillId="0" borderId="7" xfId="0" applyFont="1" applyBorder="1" applyAlignment="1">
      <alignment horizontal="center"/>
    </xf>
    <xf numFmtId="0" fontId="7" fillId="10" borderId="7" xfId="0" applyFont="1" applyFill="1" applyBorder="1"/>
    <xf numFmtId="0" fontId="15" fillId="0" borderId="17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7" fillId="0" borderId="30" xfId="0" applyFont="1" applyBorder="1"/>
    <xf numFmtId="0" fontId="0" fillId="0" borderId="27" xfId="0" applyBorder="1"/>
    <xf numFmtId="0" fontId="0" fillId="0" borderId="23" xfId="0" applyBorder="1"/>
    <xf numFmtId="0" fontId="27" fillId="0" borderId="23" xfId="0" applyFont="1" applyBorder="1"/>
    <xf numFmtId="0" fontId="27" fillId="0" borderId="0" xfId="0" applyFont="1"/>
    <xf numFmtId="0" fontId="27" fillId="0" borderId="19" xfId="0" applyFont="1" applyBorder="1"/>
    <xf numFmtId="0" fontId="0" fillId="0" borderId="32" xfId="0" applyBorder="1"/>
    <xf numFmtId="0" fontId="0" fillId="0" borderId="7" xfId="0" applyBorder="1"/>
    <xf numFmtId="0" fontId="0" fillId="0" borderId="9" xfId="0" applyBorder="1"/>
    <xf numFmtId="0" fontId="2" fillId="0" borderId="0" xfId="0" applyFont="1" applyAlignment="1">
      <alignment horizontal="right"/>
    </xf>
    <xf numFmtId="0" fontId="28" fillId="0" borderId="0" xfId="0" applyFont="1"/>
    <xf numFmtId="167" fontId="28" fillId="0" borderId="0" xfId="0" applyNumberFormat="1" applyFont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indent="6"/>
    </xf>
    <xf numFmtId="0" fontId="9" fillId="0" borderId="0" xfId="0" applyFont="1"/>
    <xf numFmtId="0" fontId="29" fillId="0" borderId="0" xfId="0" applyFont="1"/>
    <xf numFmtId="0" fontId="1" fillId="0" borderId="2" xfId="0" applyFont="1" applyBorder="1"/>
    <xf numFmtId="0" fontId="7" fillId="0" borderId="3" xfId="0" applyFont="1" applyBorder="1"/>
    <xf numFmtId="0" fontId="0" fillId="0" borderId="22" xfId="0" applyBorder="1" applyAlignment="1">
      <alignment textRotation="45"/>
    </xf>
    <xf numFmtId="0" fontId="0" fillId="0" borderId="31" xfId="0" applyBorder="1" applyAlignment="1">
      <alignment textRotation="45"/>
    </xf>
    <xf numFmtId="0" fontId="16" fillId="0" borderId="7" xfId="0" applyFont="1" applyBorder="1" applyProtection="1">
      <protection locked="0"/>
    </xf>
    <xf numFmtId="0" fontId="16" fillId="11" borderId="7" xfId="0" applyFont="1" applyFill="1" applyBorder="1" applyProtection="1">
      <protection locked="0"/>
    </xf>
    <xf numFmtId="0" fontId="9" fillId="2" borderId="4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top"/>
    </xf>
    <xf numFmtId="0" fontId="1" fillId="0" borderId="0" xfId="0" applyFont="1" applyAlignment="1">
      <alignment textRotation="45"/>
    </xf>
    <xf numFmtId="0" fontId="33" fillId="0" borderId="0" xfId="0" applyFont="1"/>
    <xf numFmtId="0" fontId="9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165" fontId="34" fillId="0" borderId="0" xfId="0" applyNumberFormat="1" applyFont="1" applyAlignment="1">
      <alignment vertical="center"/>
    </xf>
    <xf numFmtId="0" fontId="37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2" fillId="0" borderId="0" xfId="0" applyFont="1" applyAlignment="1">
      <alignment horizontal="right"/>
    </xf>
    <xf numFmtId="0" fontId="13" fillId="0" borderId="0" xfId="0" applyFont="1"/>
    <xf numFmtId="0" fontId="10" fillId="0" borderId="0" xfId="0" applyFont="1"/>
    <xf numFmtId="0" fontId="12" fillId="0" borderId="0" xfId="0" applyFont="1"/>
    <xf numFmtId="0" fontId="38" fillId="0" borderId="0" xfId="0" applyFont="1"/>
    <xf numFmtId="0" fontId="16" fillId="0" borderId="2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9" xfId="0" applyFont="1" applyBorder="1" applyProtection="1">
      <protection locked="0"/>
    </xf>
    <xf numFmtId="165" fontId="12" fillId="0" borderId="0" xfId="0" applyNumberFormat="1" applyFont="1" applyAlignment="1">
      <alignment horizontal="center"/>
    </xf>
    <xf numFmtId="0" fontId="1" fillId="0" borderId="0" xfId="0" applyFont="1" applyAlignment="1">
      <alignment vertical="center"/>
    </xf>
    <xf numFmtId="0" fontId="39" fillId="0" borderId="0" xfId="0" applyFont="1"/>
    <xf numFmtId="0" fontId="21" fillId="7" borderId="20" xfId="0" applyFont="1" applyFill="1" applyBorder="1" applyAlignment="1">
      <alignment horizontal="center" vertical="center"/>
    </xf>
    <xf numFmtId="0" fontId="26" fillId="0" borderId="0" xfId="0" applyFont="1"/>
    <xf numFmtId="0" fontId="1" fillId="9" borderId="10" xfId="0" applyFont="1" applyFill="1" applyBorder="1"/>
    <xf numFmtId="0" fontId="1" fillId="9" borderId="33" xfId="0" applyFont="1" applyFill="1" applyBorder="1"/>
    <xf numFmtId="0" fontId="1" fillId="9" borderId="1" xfId="0" applyFont="1" applyFill="1" applyBorder="1"/>
    <xf numFmtId="0" fontId="1" fillId="0" borderId="28" xfId="0" applyFont="1" applyBorder="1"/>
    <xf numFmtId="0" fontId="1" fillId="0" borderId="34" xfId="0" applyFont="1" applyBorder="1"/>
    <xf numFmtId="0" fontId="1" fillId="0" borderId="4" xfId="0" applyFont="1" applyBorder="1"/>
    <xf numFmtId="0" fontId="1" fillId="0" borderId="30" xfId="0" applyFont="1" applyBorder="1"/>
    <xf numFmtId="0" fontId="1" fillId="0" borderId="35" xfId="0" applyFont="1" applyBorder="1"/>
    <xf numFmtId="0" fontId="2" fillId="0" borderId="23" xfId="0" applyFont="1" applyBorder="1"/>
    <xf numFmtId="0" fontId="2" fillId="0" borderId="32" xfId="0" applyFont="1" applyBorder="1"/>
    <xf numFmtId="0" fontId="7" fillId="0" borderId="19" xfId="0" applyFont="1" applyBorder="1" applyAlignment="1">
      <alignment horizontal="left" indent="2"/>
    </xf>
    <xf numFmtId="0" fontId="7" fillId="0" borderId="9" xfId="0" applyFont="1" applyBorder="1" applyAlignment="1">
      <alignment horizontal="left" indent="2"/>
    </xf>
    <xf numFmtId="0" fontId="2" fillId="0" borderId="27" xfId="0" applyFont="1" applyBorder="1"/>
    <xf numFmtId="0" fontId="2" fillId="0" borderId="36" xfId="0" applyFont="1" applyBorder="1"/>
    <xf numFmtId="0" fontId="2" fillId="0" borderId="37" xfId="0" applyFont="1" applyBorder="1"/>
    <xf numFmtId="0" fontId="1" fillId="12" borderId="2" xfId="0" applyFont="1" applyFill="1" applyBorder="1"/>
    <xf numFmtId="49" fontId="1" fillId="0" borderId="0" xfId="0" applyNumberFormat="1" applyFont="1"/>
    <xf numFmtId="0" fontId="26" fillId="0" borderId="0" xfId="0" applyFont="1" applyAlignment="1">
      <alignment horizontal="right"/>
    </xf>
    <xf numFmtId="0" fontId="25" fillId="0" borderId="0" xfId="0" applyFont="1" applyAlignment="1">
      <alignment horizontal="right"/>
    </xf>
    <xf numFmtId="0" fontId="25" fillId="13" borderId="0" xfId="0" applyFont="1" applyFill="1" applyAlignment="1">
      <alignment horizontal="right"/>
    </xf>
    <xf numFmtId="0" fontId="25" fillId="13" borderId="23" xfId="0" applyFont="1" applyFill="1" applyBorder="1"/>
    <xf numFmtId="0" fontId="25" fillId="13" borderId="0" xfId="0" applyFont="1" applyFill="1" applyAlignment="1">
      <alignment horizontal="center"/>
    </xf>
    <xf numFmtId="0" fontId="26" fillId="13" borderId="23" xfId="0" applyFont="1" applyFill="1" applyBorder="1"/>
    <xf numFmtId="0" fontId="40" fillId="0" borderId="0" xfId="0" applyFont="1" applyAlignment="1">
      <alignment horizontal="center"/>
    </xf>
    <xf numFmtId="167" fontId="14" fillId="3" borderId="23" xfId="0" applyNumberFormat="1" applyFont="1" applyFill="1" applyBorder="1" applyAlignment="1" applyProtection="1">
      <alignment horizontal="left"/>
      <protection locked="0"/>
    </xf>
    <xf numFmtId="0" fontId="1" fillId="0" borderId="2" xfId="0" applyFont="1" applyBorder="1" applyAlignment="1">
      <alignment horizontal="center"/>
    </xf>
    <xf numFmtId="0" fontId="42" fillId="0" borderId="2" xfId="0" applyFont="1" applyBorder="1" applyProtection="1">
      <protection locked="0"/>
    </xf>
    <xf numFmtId="0" fontId="43" fillId="0" borderId="2" xfId="0" applyFont="1" applyBorder="1" applyProtection="1">
      <protection locked="0"/>
    </xf>
    <xf numFmtId="0" fontId="7" fillId="14" borderId="0" xfId="0" applyFont="1" applyFill="1" applyAlignment="1">
      <alignment horizontal="center"/>
    </xf>
    <xf numFmtId="0" fontId="7" fillId="14" borderId="0" xfId="0" applyFont="1" applyFill="1"/>
    <xf numFmtId="0" fontId="7" fillId="14" borderId="0" xfId="0" applyFont="1" applyFill="1" applyAlignment="1">
      <alignment horizontal="left"/>
    </xf>
    <xf numFmtId="0" fontId="7" fillId="14" borderId="2" xfId="0" applyFont="1" applyFill="1" applyBorder="1"/>
    <xf numFmtId="0" fontId="7" fillId="14" borderId="7" xfId="0" applyFont="1" applyFill="1" applyBorder="1" applyAlignment="1">
      <alignment horizontal="center"/>
    </xf>
    <xf numFmtId="0" fontId="7" fillId="14" borderId="7" xfId="0" applyFont="1" applyFill="1" applyBorder="1"/>
    <xf numFmtId="0" fontId="7" fillId="14" borderId="9" xfId="0" applyFont="1" applyFill="1" applyBorder="1"/>
    <xf numFmtId="0" fontId="7" fillId="14" borderId="3" xfId="0" applyFont="1" applyFill="1" applyBorder="1"/>
    <xf numFmtId="0" fontId="30" fillId="0" borderId="0" xfId="0" applyFont="1"/>
    <xf numFmtId="0" fontId="30" fillId="0" borderId="2" xfId="0" applyFont="1" applyBorder="1"/>
    <xf numFmtId="0" fontId="41" fillId="3" borderId="25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41" fillId="3" borderId="2" xfId="0" applyFont="1" applyFill="1" applyBorder="1" applyAlignment="1">
      <alignment horizontal="center"/>
    </xf>
    <xf numFmtId="0" fontId="41" fillId="3" borderId="16" xfId="0" applyFont="1" applyFill="1" applyBorder="1" applyAlignment="1">
      <alignment horizontal="center"/>
    </xf>
    <xf numFmtId="0" fontId="45" fillId="2" borderId="0" xfId="0" applyFont="1" applyFill="1"/>
    <xf numFmtId="0" fontId="1" fillId="0" borderId="19" xfId="0" applyFont="1" applyBorder="1"/>
    <xf numFmtId="0" fontId="1" fillId="0" borderId="32" xfId="0" applyFont="1" applyBorder="1"/>
    <xf numFmtId="0" fontId="1" fillId="0" borderId="7" xfId="0" applyFont="1" applyBorder="1"/>
    <xf numFmtId="0" fontId="1" fillId="0" borderId="9" xfId="0" applyFont="1" applyBorder="1"/>
    <xf numFmtId="0" fontId="1" fillId="0" borderId="2" xfId="0" applyFont="1" applyBorder="1" applyAlignment="1">
      <alignment horizontal="left"/>
    </xf>
    <xf numFmtId="0" fontId="1" fillId="0" borderId="7" xfId="0" applyFont="1" applyBorder="1" applyProtection="1">
      <protection locked="0"/>
    </xf>
    <xf numFmtId="0" fontId="16" fillId="6" borderId="2" xfId="0" applyFont="1" applyFill="1" applyBorder="1" applyAlignment="1">
      <alignment horizontal="center"/>
    </xf>
    <xf numFmtId="0" fontId="46" fillId="3" borderId="2" xfId="0" applyFont="1" applyFill="1" applyBorder="1" applyAlignment="1">
      <alignment horizontal="center"/>
    </xf>
    <xf numFmtId="0" fontId="1" fillId="0" borderId="3" xfId="0" applyFont="1" applyBorder="1" applyProtection="1">
      <protection locked="0"/>
    </xf>
    <xf numFmtId="0" fontId="15" fillId="4" borderId="6" xfId="0" applyFont="1" applyFill="1" applyBorder="1" applyProtection="1">
      <protection locked="0"/>
    </xf>
    <xf numFmtId="0" fontId="9" fillId="15" borderId="5" xfId="0" applyFont="1" applyFill="1" applyBorder="1" applyAlignment="1" applyProtection="1">
      <alignment horizontal="center"/>
      <protection locked="0"/>
    </xf>
    <xf numFmtId="0" fontId="14" fillId="15" borderId="5" xfId="0" applyFont="1" applyFill="1" applyBorder="1" applyAlignment="1" applyProtection="1">
      <alignment horizontal="center"/>
      <protection locked="0"/>
    </xf>
    <xf numFmtId="0" fontId="9" fillId="15" borderId="20" xfId="0" applyFont="1" applyFill="1" applyBorder="1" applyAlignment="1" applyProtection="1">
      <alignment horizontal="center"/>
      <protection locked="0"/>
    </xf>
    <xf numFmtId="0" fontId="47" fillId="0" borderId="0" xfId="0" applyFont="1"/>
    <xf numFmtId="0" fontId="1" fillId="9" borderId="0" xfId="0" applyFont="1" applyFill="1"/>
    <xf numFmtId="0" fontId="15" fillId="0" borderId="0" xfId="0" applyFont="1"/>
    <xf numFmtId="1" fontId="4" fillId="0" borderId="0" xfId="0" applyNumberFormat="1" applyFont="1"/>
    <xf numFmtId="0" fontId="1" fillId="0" borderId="11" xfId="0" applyFont="1" applyBorder="1"/>
    <xf numFmtId="0" fontId="2" fillId="0" borderId="12" xfId="0" applyFont="1" applyBorder="1"/>
    <xf numFmtId="0" fontId="1" fillId="0" borderId="13" xfId="0" applyFont="1" applyBorder="1"/>
    <xf numFmtId="0" fontId="15" fillId="17" borderId="6" xfId="0" applyFont="1" applyFill="1" applyBorder="1"/>
    <xf numFmtId="0" fontId="15" fillId="17" borderId="3" xfId="0" applyFont="1" applyFill="1" applyBorder="1"/>
    <xf numFmtId="0" fontId="15" fillId="17" borderId="0" xfId="0" applyFont="1" applyFill="1"/>
    <xf numFmtId="0" fontId="2" fillId="0" borderId="2" xfId="0" applyFont="1" applyBorder="1"/>
    <xf numFmtId="0" fontId="5" fillId="0" borderId="2" xfId="0" applyFont="1" applyBorder="1" applyAlignment="1">
      <alignment horizontal="center"/>
    </xf>
    <xf numFmtId="0" fontId="24" fillId="0" borderId="0" xfId="0" applyFont="1"/>
    <xf numFmtId="0" fontId="0" fillId="9" borderId="2" xfId="0" applyFill="1" applyBorder="1"/>
    <xf numFmtId="0" fontId="7" fillId="9" borderId="0" xfId="0" applyFont="1" applyFill="1"/>
    <xf numFmtId="0" fontId="30" fillId="0" borderId="27" xfId="0" applyFont="1" applyBorder="1"/>
    <xf numFmtId="0" fontId="30" fillId="0" borderId="22" xfId="0" applyFont="1" applyBorder="1"/>
    <xf numFmtId="0" fontId="44" fillId="0" borderId="31" xfId="0" applyFont="1" applyBorder="1"/>
    <xf numFmtId="0" fontId="30" fillId="0" borderId="23" xfId="0" applyFont="1" applyBorder="1"/>
    <xf numFmtId="0" fontId="30" fillId="0" borderId="19" xfId="0" applyFont="1" applyBorder="1"/>
    <xf numFmtId="0" fontId="30" fillId="0" borderId="0" xfId="0" applyFont="1" applyAlignment="1">
      <alignment wrapText="1"/>
    </xf>
    <xf numFmtId="0" fontId="12" fillId="0" borderId="0" xfId="0" applyFont="1" applyAlignment="1">
      <alignment horizontal="right" vertical="center" indent="3"/>
    </xf>
    <xf numFmtId="0" fontId="12" fillId="0" borderId="0" xfId="0" applyFont="1" applyAlignment="1">
      <alignment horizontal="center" vertical="top"/>
    </xf>
    <xf numFmtId="0" fontId="12" fillId="0" borderId="0" xfId="0" applyFont="1" applyAlignment="1">
      <alignment horizontal="right" indent="2"/>
    </xf>
    <xf numFmtId="0" fontId="7" fillId="14" borderId="2" xfId="0" applyFont="1" applyFill="1" applyBorder="1" applyAlignment="1">
      <alignment horizontal="center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34" fillId="0" borderId="0" xfId="0" applyFont="1" applyAlignment="1">
      <alignment horizontal="left" vertical="center"/>
    </xf>
    <xf numFmtId="0" fontId="23" fillId="0" borderId="0" xfId="0" applyFont="1" applyAlignment="1">
      <alignment horizontal="center"/>
    </xf>
    <xf numFmtId="0" fontId="22" fillId="0" borderId="0" xfId="0" applyFont="1" applyAlignment="1">
      <alignment horizontal="right" indent="1"/>
    </xf>
    <xf numFmtId="0" fontId="12" fillId="0" borderId="0" xfId="0" applyFont="1" applyAlignment="1">
      <alignment horizontal="left" vertical="top" indent="5"/>
    </xf>
    <xf numFmtId="0" fontId="12" fillId="0" borderId="0" xfId="0" applyFont="1" applyAlignment="1">
      <alignment horizontal="right" indent="1"/>
    </xf>
    <xf numFmtId="0" fontId="12" fillId="0" borderId="0" xfId="0" applyFont="1" applyAlignment="1">
      <alignment horizontal="left" indent="6"/>
    </xf>
    <xf numFmtId="0" fontId="12" fillId="0" borderId="0" xfId="0" applyFont="1" applyAlignment="1">
      <alignment horizontal="left" indent="8"/>
    </xf>
    <xf numFmtId="0" fontId="0" fillId="0" borderId="0" xfId="0" applyProtection="1">
      <protection locked="0"/>
    </xf>
    <xf numFmtId="0" fontId="45" fillId="0" borderId="0" xfId="0" applyFont="1"/>
    <xf numFmtId="0" fontId="0" fillId="14" borderId="2" xfId="0" applyFill="1" applyBorder="1" applyAlignment="1">
      <alignment horizontal="center"/>
    </xf>
    <xf numFmtId="0" fontId="1" fillId="14" borderId="2" xfId="0" applyFont="1" applyFill="1" applyBorder="1"/>
    <xf numFmtId="0" fontId="7" fillId="0" borderId="16" xfId="0" applyFont="1" applyBorder="1"/>
    <xf numFmtId="0" fontId="15" fillId="0" borderId="41" xfId="0" applyFont="1" applyBorder="1"/>
    <xf numFmtId="0" fontId="15" fillId="12" borderId="42" xfId="0" applyFont="1" applyFill="1" applyBorder="1"/>
    <xf numFmtId="1" fontId="0" fillId="0" borderId="2" xfId="0" applyNumberFormat="1" applyBorder="1"/>
    <xf numFmtId="0" fontId="2" fillId="18" borderId="26" xfId="0" applyFont="1" applyFill="1" applyBorder="1" applyAlignment="1">
      <alignment horizontal="center"/>
    </xf>
    <xf numFmtId="0" fontId="1" fillId="6" borderId="43" xfId="0" applyFont="1" applyFill="1" applyBorder="1" applyAlignment="1">
      <alignment horizontal="center"/>
    </xf>
    <xf numFmtId="0" fontId="2" fillId="18" borderId="44" xfId="0" applyFont="1" applyFill="1" applyBorder="1" applyAlignment="1">
      <alignment horizontal="center"/>
    </xf>
    <xf numFmtId="0" fontId="2" fillId="18" borderId="2" xfId="0" applyFont="1" applyFill="1" applyBorder="1" applyAlignment="1">
      <alignment horizontal="center"/>
    </xf>
    <xf numFmtId="0" fontId="9" fillId="18" borderId="16" xfId="0" applyFont="1" applyFill="1" applyBorder="1" applyAlignment="1" applyProtection="1">
      <alignment horizontal="center"/>
      <protection locked="0"/>
    </xf>
    <xf numFmtId="0" fontId="48" fillId="18" borderId="16" xfId="0" applyFont="1" applyFill="1" applyBorder="1" applyAlignment="1">
      <alignment horizontal="center"/>
    </xf>
    <xf numFmtId="0" fontId="6" fillId="18" borderId="2" xfId="0" applyFont="1" applyFill="1" applyBorder="1" applyAlignment="1">
      <alignment horizontal="center"/>
    </xf>
    <xf numFmtId="0" fontId="2" fillId="0" borderId="46" xfId="0" applyFont="1" applyBorder="1"/>
    <xf numFmtId="0" fontId="1" fillId="0" borderId="25" xfId="0" applyFont="1" applyBorder="1" applyAlignment="1" applyProtection="1">
      <alignment horizontal="center"/>
      <protection locked="0"/>
    </xf>
    <xf numFmtId="0" fontId="0" fillId="4" borderId="21" xfId="0" applyFill="1" applyBorder="1" applyProtection="1">
      <protection locked="0"/>
    </xf>
    <xf numFmtId="0" fontId="9" fillId="3" borderId="15" xfId="0" applyFont="1" applyFill="1" applyBorder="1" applyAlignment="1" applyProtection="1">
      <alignment horizontal="center"/>
      <protection locked="0"/>
    </xf>
    <xf numFmtId="0" fontId="2" fillId="15" borderId="0" xfId="0" applyFont="1" applyFill="1"/>
    <xf numFmtId="0" fontId="7" fillId="0" borderId="16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9" xfId="0" applyFont="1" applyBorder="1"/>
    <xf numFmtId="0" fontId="44" fillId="0" borderId="0" xfId="0" applyFont="1"/>
    <xf numFmtId="0" fontId="44" fillId="0" borderId="32" xfId="0" applyFont="1" applyBorder="1"/>
    <xf numFmtId="0" fontId="44" fillId="0" borderId="7" xfId="0" applyFont="1" applyBorder="1"/>
    <xf numFmtId="0" fontId="2" fillId="0" borderId="7" xfId="0" applyFont="1" applyBorder="1"/>
    <xf numFmtId="0" fontId="44" fillId="0" borderId="9" xfId="0" applyFont="1" applyBorder="1"/>
    <xf numFmtId="0" fontId="9" fillId="18" borderId="9" xfId="0" applyFont="1" applyFill="1" applyBorder="1" applyAlignment="1" applyProtection="1">
      <alignment horizontal="center"/>
      <protection locked="0"/>
    </xf>
    <xf numFmtId="0" fontId="1" fillId="0" borderId="25" xfId="0" applyFont="1" applyBorder="1" applyAlignment="1">
      <alignment vertical="center"/>
    </xf>
    <xf numFmtId="0" fontId="10" fillId="6" borderId="25" xfId="0" applyFont="1" applyFill="1" applyBorder="1" applyAlignment="1" applyProtection="1">
      <alignment horizontal="center"/>
      <protection locked="0"/>
    </xf>
    <xf numFmtId="0" fontId="1" fillId="0" borderId="16" xfId="0" applyFont="1" applyBorder="1" applyAlignment="1">
      <alignment vertical="center"/>
    </xf>
    <xf numFmtId="0" fontId="16" fillId="0" borderId="0" xfId="0" applyFont="1" applyProtection="1">
      <protection locked="0"/>
    </xf>
    <xf numFmtId="0" fontId="48" fillId="0" borderId="39" xfId="0" applyFont="1" applyBorder="1" applyProtection="1">
      <protection locked="0"/>
    </xf>
    <xf numFmtId="0" fontId="48" fillId="0" borderId="41" xfId="0" applyFont="1" applyBorder="1" applyProtection="1">
      <protection locked="0"/>
    </xf>
    <xf numFmtId="0" fontId="2" fillId="0" borderId="2" xfId="0" applyFont="1" applyBorder="1" applyAlignment="1">
      <alignment vertical="center"/>
    </xf>
    <xf numFmtId="0" fontId="48" fillId="0" borderId="2" xfId="0" applyFont="1" applyBorder="1" applyProtection="1">
      <protection locked="0"/>
    </xf>
    <xf numFmtId="0" fontId="50" fillId="6" borderId="2" xfId="0" applyFont="1" applyFill="1" applyBorder="1" applyAlignment="1" applyProtection="1">
      <alignment horizontal="center"/>
      <protection locked="0"/>
    </xf>
    <xf numFmtId="0" fontId="48" fillId="0" borderId="2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49" fillId="0" borderId="0" xfId="0" applyFont="1" applyAlignment="1">
      <alignment horizontal="center" vertical="center"/>
    </xf>
    <xf numFmtId="0" fontId="15" fillId="0" borderId="47" xfId="0" applyFont="1" applyBorder="1" applyAlignment="1">
      <alignment horizontal="left"/>
    </xf>
    <xf numFmtId="0" fontId="15" fillId="0" borderId="25" xfId="0" applyFont="1" applyBorder="1" applyAlignment="1">
      <alignment horizontal="center"/>
    </xf>
    <xf numFmtId="0" fontId="7" fillId="14" borderId="16" xfId="0" applyFont="1" applyFill="1" applyBorder="1"/>
    <xf numFmtId="0" fontId="7" fillId="0" borderId="2" xfId="0" applyFont="1" applyBorder="1" applyAlignment="1">
      <alignment horizontal="left"/>
    </xf>
    <xf numFmtId="0" fontId="7" fillId="14" borderId="25" xfId="0" applyFont="1" applyFill="1" applyBorder="1"/>
    <xf numFmtId="14" fontId="1" fillId="0" borderId="2" xfId="0" applyNumberFormat="1" applyFont="1" applyBorder="1"/>
    <xf numFmtId="0" fontId="54" fillId="0" borderId="38" xfId="0" applyFont="1" applyBorder="1" applyAlignment="1">
      <alignment vertical="center"/>
    </xf>
    <xf numFmtId="0" fontId="52" fillId="19" borderId="40" xfId="0" applyFont="1" applyFill="1" applyBorder="1" applyAlignment="1">
      <alignment vertical="center"/>
    </xf>
    <xf numFmtId="0" fontId="51" fillId="19" borderId="14" xfId="0" applyFont="1" applyFill="1" applyBorder="1" applyAlignment="1" applyProtection="1">
      <alignment horizontal="center"/>
      <protection locked="0"/>
    </xf>
    <xf numFmtId="0" fontId="48" fillId="0" borderId="40" xfId="0" applyFont="1" applyBorder="1" applyAlignment="1">
      <alignment vertical="center"/>
    </xf>
    <xf numFmtId="0" fontId="50" fillId="6" borderId="14" xfId="0" applyFont="1" applyFill="1" applyBorder="1" applyAlignment="1" applyProtection="1">
      <alignment horizontal="center"/>
      <protection locked="0"/>
    </xf>
    <xf numFmtId="0" fontId="1" fillId="6" borderId="26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1" fillId="0" borderId="6" xfId="0" applyFont="1" applyBorder="1"/>
    <xf numFmtId="0" fontId="1" fillId="9" borderId="25" xfId="0" applyFont="1" applyFill="1" applyBorder="1" applyAlignment="1">
      <alignment horizontal="center"/>
    </xf>
    <xf numFmtId="0" fontId="1" fillId="0" borderId="21" xfId="0" applyFont="1" applyBorder="1"/>
    <xf numFmtId="0" fontId="1" fillId="0" borderId="21" xfId="0" applyFont="1" applyBorder="1" applyAlignment="1">
      <alignment horizontal="center"/>
    </xf>
    <xf numFmtId="0" fontId="1" fillId="0" borderId="3" xfId="0" applyFont="1" applyBorder="1"/>
    <xf numFmtId="17" fontId="15" fillId="0" borderId="0" xfId="0" applyNumberFormat="1" applyFont="1"/>
    <xf numFmtId="0" fontId="0" fillId="0" borderId="0" xfId="0" applyAlignment="1">
      <alignment horizontal="right"/>
    </xf>
    <xf numFmtId="0" fontId="7" fillId="0" borderId="0" xfId="0" applyFont="1" applyAlignment="1">
      <alignment horizontal="right"/>
    </xf>
    <xf numFmtId="1" fontId="1" fillId="0" borderId="2" xfId="0" applyNumberFormat="1" applyFont="1" applyBorder="1"/>
    <xf numFmtId="49" fontId="48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vertical="center"/>
    </xf>
    <xf numFmtId="0" fontId="56" fillId="0" borderId="2" xfId="0" applyFont="1" applyBorder="1" applyAlignment="1">
      <alignment horizontal="left" vertical="center"/>
    </xf>
    <xf numFmtId="0" fontId="16" fillId="0" borderId="0" xfId="0" applyFont="1"/>
    <xf numFmtId="0" fontId="16" fillId="0" borderId="2" xfId="0" applyFont="1" applyBorder="1" applyAlignment="1">
      <alignment vertical="center"/>
    </xf>
    <xf numFmtId="0" fontId="16" fillId="0" borderId="2" xfId="0" applyFont="1" applyBorder="1" applyAlignment="1">
      <alignment horizontal="left" vertical="center"/>
    </xf>
    <xf numFmtId="168" fontId="56" fillId="0" borderId="2" xfId="0" applyNumberFormat="1" applyFont="1" applyBorder="1" applyAlignment="1">
      <alignment horizontal="left" vertical="center"/>
    </xf>
    <xf numFmtId="168" fontId="57" fillId="0" borderId="2" xfId="0" applyNumberFormat="1" applyFont="1" applyBorder="1" applyAlignment="1">
      <alignment horizontal="left" vertical="center"/>
    </xf>
    <xf numFmtId="0" fontId="58" fillId="0" borderId="2" xfId="0" applyFont="1" applyBorder="1" applyAlignment="1">
      <alignment vertical="center"/>
    </xf>
    <xf numFmtId="0" fontId="16" fillId="0" borderId="2" xfId="0" applyFont="1" applyBorder="1"/>
    <xf numFmtId="0" fontId="56" fillId="0" borderId="0" xfId="0" applyFont="1" applyAlignment="1">
      <alignment horizontal="left" vertical="center"/>
    </xf>
    <xf numFmtId="0" fontId="1" fillId="0" borderId="16" xfId="0" applyFont="1" applyBorder="1" applyAlignment="1" applyProtection="1">
      <alignment horizontal="center"/>
      <protection locked="0"/>
    </xf>
    <xf numFmtId="1" fontId="1" fillId="0" borderId="6" xfId="0" applyNumberFormat="1" applyFont="1" applyBorder="1" applyAlignment="1">
      <alignment horizontal="right"/>
    </xf>
    <xf numFmtId="1" fontId="0" fillId="0" borderId="0" xfId="0" applyNumberFormat="1" applyAlignment="1">
      <alignment horizontal="right"/>
    </xf>
    <xf numFmtId="1" fontId="5" fillId="0" borderId="6" xfId="0" applyNumberFormat="1" applyFont="1" applyBorder="1" applyAlignment="1">
      <alignment horizontal="right"/>
    </xf>
    <xf numFmtId="1" fontId="0" fillId="0" borderId="2" xfId="0" applyNumberFormat="1" applyBorder="1" applyAlignment="1">
      <alignment horizontal="right"/>
    </xf>
    <xf numFmtId="1" fontId="0" fillId="0" borderId="6" xfId="0" applyNumberFormat="1" applyBorder="1" applyAlignment="1">
      <alignment horizontal="right"/>
    </xf>
    <xf numFmtId="1" fontId="1" fillId="0" borderId="2" xfId="0" applyNumberFormat="1" applyFont="1" applyBorder="1" applyAlignment="1">
      <alignment horizontal="right"/>
    </xf>
    <xf numFmtId="1" fontId="1" fillId="0" borderId="0" xfId="0" applyNumberFormat="1" applyFont="1" applyAlignment="1">
      <alignment horizontal="right"/>
    </xf>
    <xf numFmtId="0" fontId="1" fillId="0" borderId="22" xfId="0" applyFont="1" applyBorder="1" applyAlignment="1">
      <alignment vertical="center"/>
    </xf>
    <xf numFmtId="0" fontId="16" fillId="0" borderId="2" xfId="0" applyFont="1" applyBorder="1" applyProtection="1">
      <protection locked="0"/>
    </xf>
    <xf numFmtId="0" fontId="2" fillId="9" borderId="38" xfId="0" applyFont="1" applyFill="1" applyBorder="1" applyAlignment="1">
      <alignment horizontal="center"/>
    </xf>
    <xf numFmtId="0" fontId="2" fillId="9" borderId="39" xfId="0" applyFont="1" applyFill="1" applyBorder="1" applyAlignment="1">
      <alignment horizontal="center"/>
    </xf>
    <xf numFmtId="0" fontId="2" fillId="9" borderId="40" xfId="0" applyFont="1" applyFill="1" applyBorder="1" applyAlignment="1">
      <alignment horizontal="center"/>
    </xf>
    <xf numFmtId="0" fontId="2" fillId="16" borderId="18" xfId="0" applyFont="1" applyFill="1" applyBorder="1" applyAlignment="1">
      <alignment horizontal="center"/>
    </xf>
    <xf numFmtId="0" fontId="2" fillId="16" borderId="17" xfId="0" applyFont="1" applyFill="1" applyBorder="1" applyAlignment="1">
      <alignment horizontal="center"/>
    </xf>
    <xf numFmtId="0" fontId="2" fillId="16" borderId="45" xfId="0" applyFont="1" applyFill="1" applyBorder="1" applyAlignment="1">
      <alignment horizontal="center"/>
    </xf>
    <xf numFmtId="0" fontId="36" fillId="0" borderId="2" xfId="0" applyFont="1" applyBorder="1" applyAlignment="1">
      <alignment horizontal="center"/>
    </xf>
    <xf numFmtId="0" fontId="35" fillId="0" borderId="0" xfId="0" applyFont="1" applyAlignment="1">
      <alignment horizontal="center"/>
    </xf>
    <xf numFmtId="0" fontId="9" fillId="4" borderId="18" xfId="0" applyFont="1" applyFill="1" applyBorder="1" applyAlignment="1" applyProtection="1">
      <alignment horizontal="center"/>
      <protection locked="0"/>
    </xf>
    <xf numFmtId="0" fontId="9" fillId="4" borderId="45" xfId="0" applyFont="1" applyFill="1" applyBorder="1" applyAlignment="1" applyProtection="1">
      <alignment horizontal="center"/>
      <protection locked="0"/>
    </xf>
    <xf numFmtId="166" fontId="31" fillId="0" borderId="0" xfId="0" applyNumberFormat="1" applyFont="1"/>
    <xf numFmtId="0" fontId="32" fillId="0" borderId="0" xfId="0" applyFont="1"/>
    <xf numFmtId="0" fontId="9" fillId="8" borderId="28" xfId="0" applyFont="1" applyFill="1" applyBorder="1" applyAlignment="1">
      <alignment horizontal="center" vertical="center" textRotation="180"/>
    </xf>
    <xf numFmtId="0" fontId="14" fillId="8" borderId="28" xfId="0" applyFont="1" applyFill="1" applyBorder="1" applyAlignment="1">
      <alignment horizontal="center" vertical="center" textRotation="180"/>
    </xf>
    <xf numFmtId="0" fontId="14" fillId="8" borderId="29" xfId="0" applyFont="1" applyFill="1" applyBorder="1" applyAlignment="1">
      <alignment horizontal="center" vertical="center" textRotation="180"/>
    </xf>
    <xf numFmtId="0" fontId="15" fillId="0" borderId="6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15" fillId="0" borderId="3" xfId="0" applyFont="1" applyBorder="1" applyAlignment="1">
      <alignment horizontal="center"/>
    </xf>
  </cellXfs>
  <cellStyles count="2">
    <cellStyle name="Standaard" xfId="0" builtinId="0"/>
    <cellStyle name="Standaard 2" xfId="1" xr:uid="{8FFE586F-9088-4737-B79D-1E99DA880EAF}"/>
  </cellStyles>
  <dxfs count="12">
    <dxf>
      <fill>
        <patternFill>
          <bgColor rgb="FFFBC60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BC605"/>
      <color rgb="FFFA4006"/>
      <color rgb="FFD6F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162722</xdr:colOff>
      <xdr:row>14</xdr:row>
      <xdr:rowOff>191823</xdr:rowOff>
    </xdr:from>
    <xdr:to>
      <xdr:col>7</xdr:col>
      <xdr:colOff>1579565</xdr:colOff>
      <xdr:row>16</xdr:row>
      <xdr:rowOff>215636</xdr:rowOff>
    </xdr:to>
    <xdr:sp macro="[0]!LOTING" textlink="">
      <xdr:nvSpPr>
        <xdr:cNvPr id="3" name="Stroomdiagram: Alternatief proc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931639" y="2446073"/>
          <a:ext cx="1416843" cy="510646"/>
        </a:xfrm>
        <a:prstGeom prst="flowChartAlternate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2400" b="1"/>
            <a:t>Loting</a:t>
          </a:r>
          <a:r>
            <a:rPr lang="nl-BE" sz="2400" b="1" baseline="0"/>
            <a:t> vragen</a:t>
          </a:r>
          <a:endParaRPr lang="nl-BE" sz="2400" b="1"/>
        </a:p>
      </xdr:txBody>
    </xdr:sp>
    <xdr:clientData/>
  </xdr:twoCellAnchor>
  <xdr:twoCellAnchor>
    <xdr:from>
      <xdr:col>7</xdr:col>
      <xdr:colOff>211667</xdr:colOff>
      <xdr:row>17</xdr:row>
      <xdr:rowOff>117738</xdr:rowOff>
    </xdr:from>
    <xdr:to>
      <xdr:col>7</xdr:col>
      <xdr:colOff>1100667</xdr:colOff>
      <xdr:row>18</xdr:row>
      <xdr:rowOff>201083</xdr:rowOff>
    </xdr:to>
    <xdr:sp macro="[0]!round1" textlink="">
      <xdr:nvSpPr>
        <xdr:cNvPr id="4" name="Stroomdiagram: Alternatief proce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3980584" y="3102238"/>
          <a:ext cx="889000" cy="326762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1</a:t>
          </a:r>
        </a:p>
      </xdr:txBody>
    </xdr:sp>
    <xdr:clientData/>
  </xdr:twoCellAnchor>
  <xdr:twoCellAnchor>
    <xdr:from>
      <xdr:col>7</xdr:col>
      <xdr:colOff>222250</xdr:colOff>
      <xdr:row>19</xdr:row>
      <xdr:rowOff>52917</xdr:rowOff>
    </xdr:from>
    <xdr:to>
      <xdr:col>7</xdr:col>
      <xdr:colOff>1090083</xdr:colOff>
      <xdr:row>20</xdr:row>
      <xdr:rowOff>116417</xdr:rowOff>
    </xdr:to>
    <xdr:sp macro="[0]!round2" textlink="">
      <xdr:nvSpPr>
        <xdr:cNvPr id="13" name="Stroomdiagram: Alternatief proce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3991167" y="3524250"/>
          <a:ext cx="867833" cy="306917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2</a:t>
          </a:r>
        </a:p>
      </xdr:txBody>
    </xdr:sp>
    <xdr:clientData/>
  </xdr:twoCellAnchor>
  <xdr:twoCellAnchor>
    <xdr:from>
      <xdr:col>7</xdr:col>
      <xdr:colOff>211666</xdr:colOff>
      <xdr:row>20</xdr:row>
      <xdr:rowOff>198435</xdr:rowOff>
    </xdr:from>
    <xdr:to>
      <xdr:col>7</xdr:col>
      <xdr:colOff>1079500</xdr:colOff>
      <xdr:row>22</xdr:row>
      <xdr:rowOff>26457</xdr:rowOff>
    </xdr:to>
    <xdr:sp macro="[0]!round3" textlink="">
      <xdr:nvSpPr>
        <xdr:cNvPr id="18" name="Stroomdiagram: Alternatief proce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3980583" y="3913185"/>
          <a:ext cx="867834" cy="314855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3</a:t>
          </a:r>
        </a:p>
      </xdr:txBody>
    </xdr:sp>
    <xdr:clientData/>
  </xdr:twoCellAnchor>
  <xdr:twoCellAnchor>
    <xdr:from>
      <xdr:col>7</xdr:col>
      <xdr:colOff>220927</xdr:colOff>
      <xdr:row>22</xdr:row>
      <xdr:rowOff>104509</xdr:rowOff>
    </xdr:from>
    <xdr:to>
      <xdr:col>7</xdr:col>
      <xdr:colOff>1090083</xdr:colOff>
      <xdr:row>23</xdr:row>
      <xdr:rowOff>164040</xdr:rowOff>
    </xdr:to>
    <xdr:sp macro="[0]!round4" textlink="">
      <xdr:nvSpPr>
        <xdr:cNvPr id="21" name="Stroomdiagram: Alternatief proce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13989844" y="4306092"/>
          <a:ext cx="869156" cy="302948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4</a:t>
          </a:r>
        </a:p>
      </xdr:txBody>
    </xdr:sp>
    <xdr:clientData/>
  </xdr:twoCellAnchor>
  <xdr:twoCellAnchor>
    <xdr:from>
      <xdr:col>7</xdr:col>
      <xdr:colOff>179917</xdr:colOff>
      <xdr:row>12</xdr:row>
      <xdr:rowOff>63501</xdr:rowOff>
    </xdr:from>
    <xdr:to>
      <xdr:col>7</xdr:col>
      <xdr:colOff>1390386</xdr:colOff>
      <xdr:row>14</xdr:row>
      <xdr:rowOff>74084</xdr:rowOff>
    </xdr:to>
    <xdr:sp macro="[0]!password" textlink="">
      <xdr:nvSpPr>
        <xdr:cNvPr id="6" name="Stroomdiagram: Alternatief proce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3948834" y="1830918"/>
          <a:ext cx="1210469" cy="497416"/>
        </a:xfrm>
        <a:prstGeom prst="flowChartAlternateProcess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ALL</a:t>
          </a:r>
        </a:p>
      </xdr:txBody>
    </xdr:sp>
    <xdr:clientData/>
  </xdr:twoCellAnchor>
  <xdr:twoCellAnchor>
    <xdr:from>
      <xdr:col>19</xdr:col>
      <xdr:colOff>143497</xdr:colOff>
      <xdr:row>6</xdr:row>
      <xdr:rowOff>216881</xdr:rowOff>
    </xdr:from>
    <xdr:to>
      <xdr:col>19</xdr:col>
      <xdr:colOff>1756333</xdr:colOff>
      <xdr:row>8</xdr:row>
      <xdr:rowOff>94628</xdr:rowOff>
    </xdr:to>
    <xdr:sp macro="" textlink="">
      <xdr:nvSpPr>
        <xdr:cNvPr id="2" name="Pijl: recht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792762" y="1707263"/>
          <a:ext cx="1612836" cy="348394"/>
        </a:xfrm>
        <a:prstGeom prst="rightArrow">
          <a:avLst/>
        </a:prstGeom>
        <a:solidFill>
          <a:srgbClr val="C00000"/>
        </a:solidFill>
        <a:ln w="38100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nl-BE" sz="18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1479186</xdr:colOff>
      <xdr:row>12</xdr:row>
      <xdr:rowOff>67238</xdr:rowOff>
    </xdr:from>
    <xdr:to>
      <xdr:col>7</xdr:col>
      <xdr:colOff>2689655</xdr:colOff>
      <xdr:row>14</xdr:row>
      <xdr:rowOff>77821</xdr:rowOff>
    </xdr:to>
    <xdr:sp macro="[0]!ResetLoting" textlink="">
      <xdr:nvSpPr>
        <xdr:cNvPr id="17" name="Stroomdiagram: Alternatief proces 16">
          <a:extLst>
            <a:ext uri="{FF2B5EF4-FFF2-40B4-BE49-F238E27FC236}">
              <a16:creationId xmlns:a16="http://schemas.microsoft.com/office/drawing/2014/main" id="{BB69F704-D278-49B3-A33A-C13F2BBE5DC9}"/>
            </a:ext>
          </a:extLst>
        </xdr:cNvPr>
        <xdr:cNvSpPr/>
      </xdr:nvSpPr>
      <xdr:spPr>
        <a:xfrm>
          <a:off x="6544245" y="3014385"/>
          <a:ext cx="1210469" cy="503642"/>
        </a:xfrm>
        <a:prstGeom prst="flowChartAlternateProcess">
          <a:avLst/>
        </a:prstGeom>
        <a:solidFill>
          <a:srgbClr val="FFC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loting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C00000"/>
        </a:solidFill>
        <a:ln w="38100">
          <a:solidFill>
            <a:schemeClr val="bg1"/>
          </a:solidFill>
        </a:ln>
      </a:spPr>
      <a:bodyPr vertOverflow="clip" horzOverflow="clip" rtlCol="0" anchor="ctr"/>
      <a:lstStyle>
        <a:defPPr algn="ctr">
          <a:defRPr sz="1800" b="1">
            <a:solidFill>
              <a:schemeClr val="lt1"/>
            </a:solidFill>
            <a:effectLst/>
            <a:latin typeface="+mn-lt"/>
            <a:ea typeface="+mn-ea"/>
            <a:cs typeface="+mn-cs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3" tint="0.39997558519241921"/>
  </sheetPr>
  <dimension ref="A1:AH885"/>
  <sheetViews>
    <sheetView topLeftCell="A10" workbookViewId="0">
      <selection activeCell="T22" sqref="T22"/>
    </sheetView>
  </sheetViews>
  <sheetFormatPr defaultColWidth="9.140625" defaultRowHeight="14.25"/>
  <cols>
    <col min="1" max="1" width="16.42578125" style="280" customWidth="1"/>
    <col min="2" max="2" width="14.42578125" style="86" customWidth="1"/>
    <col min="3" max="3" width="17" style="86" customWidth="1"/>
    <col min="4" max="4" width="32.7109375" style="141" hidden="1" customWidth="1"/>
    <col min="5" max="5" width="32.7109375" style="166" hidden="1" customWidth="1"/>
    <col min="6" max="6" width="9.85546875" style="154" customWidth="1"/>
    <col min="7" max="7" width="7" style="216" customWidth="1"/>
    <col min="8" max="8" width="3.7109375" style="155" bestFit="1" customWidth="1"/>
    <col min="9" max="10" width="4.42578125" style="86" customWidth="1"/>
    <col min="11" max="11" width="4.42578125" style="140" customWidth="1"/>
    <col min="12" max="18" width="4.42578125" style="86" customWidth="1"/>
    <col min="19" max="19" width="4.42578125" style="7" customWidth="1"/>
    <col min="20" max="20" width="33.42578125" style="7" customWidth="1"/>
    <col min="21" max="21" width="3.140625" style="7" customWidth="1"/>
    <col min="22" max="22" width="2.85546875" style="7" customWidth="1"/>
    <col min="23" max="23" width="4.7109375" style="7" customWidth="1"/>
    <col min="24" max="24" width="5.42578125" style="7" customWidth="1"/>
    <col min="25" max="25" width="17" style="7" bestFit="1" customWidth="1"/>
    <col min="26" max="26" width="22.85546875" style="7" customWidth="1"/>
    <col min="27" max="16384" width="9.140625" style="7"/>
  </cols>
  <sheetData>
    <row r="1" spans="1:34" ht="21" thickBot="1">
      <c r="B1" s="252" t="s">
        <v>265</v>
      </c>
      <c r="C1" s="253">
        <f>SUM(F2:F54)</f>
        <v>127</v>
      </c>
      <c r="D1" s="238"/>
      <c r="E1" s="255"/>
      <c r="F1" s="257"/>
      <c r="G1" s="213"/>
      <c r="H1" s="153" t="s">
        <v>7</v>
      </c>
      <c r="I1" s="259" t="s">
        <v>97</v>
      </c>
      <c r="J1" s="261" t="s">
        <v>98</v>
      </c>
      <c r="K1" s="262" t="s">
        <v>99</v>
      </c>
      <c r="L1" s="261" t="s">
        <v>100</v>
      </c>
      <c r="M1" s="261" t="s">
        <v>101</v>
      </c>
      <c r="N1" s="261" t="s">
        <v>102</v>
      </c>
      <c r="O1" s="261" t="s">
        <v>103</v>
      </c>
      <c r="P1" s="261" t="s">
        <v>104</v>
      </c>
      <c r="Q1" s="261" t="s">
        <v>105</v>
      </c>
      <c r="R1" s="263" t="s">
        <v>106</v>
      </c>
      <c r="X1" s="292" t="s">
        <v>143</v>
      </c>
      <c r="Y1" s="293"/>
      <c r="Z1" s="294"/>
    </row>
    <row r="2" spans="1:34" ht="21" thickBot="1">
      <c r="B2" s="252" t="s">
        <v>266</v>
      </c>
      <c r="C2" s="254" t="s">
        <v>227</v>
      </c>
      <c r="D2" s="239"/>
      <c r="E2" s="256" t="s">
        <v>264</v>
      </c>
      <c r="F2" s="258" t="s">
        <v>168</v>
      </c>
      <c r="G2" s="216" t="s">
        <v>167</v>
      </c>
      <c r="I2" s="260" t="s">
        <v>107</v>
      </c>
      <c r="J2" s="260"/>
      <c r="K2" s="260"/>
      <c r="L2" s="260"/>
      <c r="M2" s="260"/>
      <c r="N2" s="260"/>
      <c r="O2" s="260"/>
      <c r="P2" s="260"/>
      <c r="Q2" s="260"/>
      <c r="R2" s="260"/>
      <c r="X2" s="289" t="str">
        <f>"Vaste tafel in ronde "&amp;Loting!F1</f>
        <v>Vaste tafel in ronde 5</v>
      </c>
      <c r="Y2" s="290"/>
      <c r="Z2" s="291"/>
    </row>
    <row r="3" spans="1:34" ht="19.5" thickBot="1">
      <c r="A3" s="281">
        <v>2026000000022</v>
      </c>
      <c r="B3" s="57" t="s">
        <v>276</v>
      </c>
      <c r="C3" s="86" t="s">
        <v>267</v>
      </c>
      <c r="D3" s="142" t="str">
        <f t="shared" ref="D3:D34" si="0">B3&amp;" "&amp;C3</f>
        <v>Alfreda Fiers</v>
      </c>
      <c r="E3" s="107" t="str">
        <f t="shared" ref="E3:E9" si="1">_xlfn.TEXTBEFORE(D3," ")</f>
        <v>Alfreda</v>
      </c>
      <c r="F3" s="58" t="s">
        <v>116</v>
      </c>
      <c r="G3" s="217"/>
      <c r="H3" s="156">
        <f t="shared" ref="H3:H34" si="2">COUNTIF(I3:S3,"R")</f>
        <v>0</v>
      </c>
      <c r="I3" s="50"/>
      <c r="J3" s="50"/>
      <c r="K3" s="50"/>
      <c r="L3" s="50"/>
      <c r="M3" s="50"/>
      <c r="N3" s="50"/>
      <c r="O3" s="50"/>
      <c r="P3" s="50"/>
      <c r="Q3" s="50"/>
      <c r="R3" s="50"/>
      <c r="X3" s="175">
        <v>6</v>
      </c>
      <c r="Y3" s="86" t="s">
        <v>263</v>
      </c>
      <c r="Z3" s="176">
        <v>6</v>
      </c>
    </row>
    <row r="4" spans="1:34" ht="15.75" customHeight="1">
      <c r="A4" s="280">
        <v>2024940697630</v>
      </c>
      <c r="B4" s="57" t="s">
        <v>76</v>
      </c>
      <c r="C4" s="86" t="s">
        <v>77</v>
      </c>
      <c r="D4" s="142" t="str">
        <f t="shared" si="0"/>
        <v>Brigitte Raeymaekers</v>
      </c>
      <c r="E4" s="107" t="str">
        <f t="shared" si="1"/>
        <v>Brigitte</v>
      </c>
      <c r="F4" s="58">
        <v>4</v>
      </c>
      <c r="G4" s="217"/>
      <c r="H4" s="156">
        <f t="shared" si="2"/>
        <v>1</v>
      </c>
      <c r="I4" s="279"/>
      <c r="J4" s="279"/>
      <c r="K4" s="279"/>
      <c r="L4" s="279" t="s">
        <v>176</v>
      </c>
      <c r="M4" s="279"/>
      <c r="N4" s="279"/>
      <c r="O4" s="279"/>
      <c r="P4" s="279"/>
      <c r="Q4" s="279"/>
      <c r="R4" s="279"/>
      <c r="T4" s="214" t="s">
        <v>2</v>
      </c>
      <c r="X4" s="175">
        <v>3</v>
      </c>
      <c r="Y4" s="86" t="s">
        <v>135</v>
      </c>
      <c r="Z4" s="176">
        <v>3</v>
      </c>
      <c r="AC4" s="59"/>
      <c r="AH4" s="158"/>
    </row>
    <row r="5" spans="1:34" ht="15.75" customHeight="1" thickBot="1">
      <c r="A5" s="280">
        <v>2024244942467</v>
      </c>
      <c r="B5" s="57" t="s">
        <v>25</v>
      </c>
      <c r="C5" s="57" t="s">
        <v>78</v>
      </c>
      <c r="D5" s="142" t="str">
        <f t="shared" si="0"/>
        <v>Chris Cuppens</v>
      </c>
      <c r="E5" s="107" t="str">
        <f t="shared" si="1"/>
        <v>Chris</v>
      </c>
      <c r="F5" s="58">
        <v>4</v>
      </c>
      <c r="G5" s="217"/>
      <c r="H5" s="156">
        <f t="shared" si="2"/>
        <v>1</v>
      </c>
      <c r="I5" s="42"/>
      <c r="J5" s="42"/>
      <c r="K5" s="42"/>
      <c r="L5" s="42"/>
      <c r="M5" s="42" t="s">
        <v>176</v>
      </c>
      <c r="N5" s="42"/>
      <c r="O5" s="42"/>
      <c r="P5" s="42"/>
      <c r="Q5" s="42"/>
      <c r="R5" s="42"/>
      <c r="T5" s="215" t="s">
        <v>9</v>
      </c>
      <c r="X5" s="175">
        <v>4</v>
      </c>
      <c r="Y5" s="86" t="s">
        <v>119</v>
      </c>
      <c r="Z5" s="176">
        <v>4</v>
      </c>
      <c r="AC5" s="59" t="s">
        <v>41</v>
      </c>
      <c r="AH5" s="158"/>
    </row>
    <row r="6" spans="1:34" ht="15.75" customHeight="1" thickBot="1">
      <c r="A6" s="280">
        <v>2024253057213</v>
      </c>
      <c r="B6" s="57" t="s">
        <v>118</v>
      </c>
      <c r="C6" s="57" t="s">
        <v>122</v>
      </c>
      <c r="D6" s="142" t="str">
        <f t="shared" si="0"/>
        <v>Christiane De Maesschalck</v>
      </c>
      <c r="E6" s="107" t="str">
        <f t="shared" si="1"/>
        <v>Christiane</v>
      </c>
      <c r="F6" s="58">
        <v>3</v>
      </c>
      <c r="G6" s="217"/>
      <c r="H6" s="156">
        <f t="shared" si="2"/>
        <v>1</v>
      </c>
      <c r="I6" s="50" t="s">
        <v>176</v>
      </c>
      <c r="J6" s="50"/>
      <c r="K6" s="50"/>
      <c r="L6" s="50"/>
      <c r="M6" s="50"/>
      <c r="N6" s="50"/>
      <c r="O6" s="50"/>
      <c r="P6" s="50"/>
      <c r="Q6" s="50"/>
      <c r="R6" s="50"/>
      <c r="S6" s="1"/>
      <c r="X6" s="177">
        <v>4</v>
      </c>
      <c r="Y6" s="86" t="s">
        <v>259</v>
      </c>
      <c r="Z6" s="176" t="b">
        <f>IF(AND(VLOOKUP(Y6,D:F,3,0)&lt;&gt;"A",VLOOKUP(Y6,D:F,3,0)&gt;=Loting!F$1),X6,FALSE)</f>
        <v>0</v>
      </c>
      <c r="AC6" s="59"/>
      <c r="AH6" s="158"/>
    </row>
    <row r="7" spans="1:34" ht="15.75" customHeight="1">
      <c r="A7" s="281" t="s">
        <v>281</v>
      </c>
      <c r="B7" s="57" t="s">
        <v>118</v>
      </c>
      <c r="C7" s="57" t="s">
        <v>257</v>
      </c>
      <c r="D7" s="142" t="str">
        <f t="shared" si="0"/>
        <v>Christiane Van der Sypt</v>
      </c>
      <c r="E7" s="107" t="str">
        <f t="shared" si="1"/>
        <v>Christiane</v>
      </c>
      <c r="F7" s="58">
        <v>3</v>
      </c>
      <c r="G7" s="217"/>
      <c r="H7" s="156">
        <f t="shared" si="2"/>
        <v>1</v>
      </c>
      <c r="I7" s="50"/>
      <c r="J7" s="50"/>
      <c r="K7" s="50"/>
      <c r="L7" s="50"/>
      <c r="M7" s="50"/>
      <c r="N7" s="50"/>
      <c r="O7" s="50" t="s">
        <v>176</v>
      </c>
      <c r="P7" s="50"/>
      <c r="Q7" s="50"/>
      <c r="R7" s="50"/>
      <c r="AC7" s="71" t="s">
        <v>44</v>
      </c>
      <c r="AD7" s="72" t="s">
        <v>56</v>
      </c>
      <c r="AE7" s="72"/>
      <c r="AF7" s="72"/>
      <c r="AG7" s="72"/>
      <c r="AH7" s="73"/>
    </row>
    <row r="8" spans="1:34" ht="15.75" customHeight="1">
      <c r="A8" s="280">
        <v>2024259600352</v>
      </c>
      <c r="B8" s="57" t="s">
        <v>10</v>
      </c>
      <c r="C8" s="57" t="s">
        <v>32</v>
      </c>
      <c r="D8" s="142" t="str">
        <f t="shared" si="0"/>
        <v>Daniel Bogaert</v>
      </c>
      <c r="E8" s="107" t="str">
        <f t="shared" si="1"/>
        <v>Daniel</v>
      </c>
      <c r="F8" s="58">
        <v>4</v>
      </c>
      <c r="G8" s="217"/>
      <c r="H8" s="156">
        <f t="shared" si="2"/>
        <v>1</v>
      </c>
      <c r="I8" s="50"/>
      <c r="J8" s="50"/>
      <c r="K8" s="50"/>
      <c r="L8" s="50"/>
      <c r="M8" s="50"/>
      <c r="N8" s="50"/>
      <c r="O8" s="50" t="s">
        <v>176</v>
      </c>
      <c r="P8" s="50"/>
      <c r="Q8" s="50"/>
      <c r="R8" s="50"/>
      <c r="AC8" s="71" t="s">
        <v>45</v>
      </c>
      <c r="AD8" s="72" t="s">
        <v>57</v>
      </c>
      <c r="AE8" s="72"/>
      <c r="AF8" s="72"/>
      <c r="AG8" s="72"/>
      <c r="AH8" s="73"/>
    </row>
    <row r="9" spans="1:34" ht="15.75" customHeight="1">
      <c r="A9" s="280">
        <v>2024264719513</v>
      </c>
      <c r="B9" s="57" t="s">
        <v>26</v>
      </c>
      <c r="C9" s="57" t="s">
        <v>79</v>
      </c>
      <c r="D9" s="142" t="str">
        <f t="shared" si="0"/>
        <v>Daniella Vanhalewyn</v>
      </c>
      <c r="E9" s="107" t="str">
        <f t="shared" si="1"/>
        <v>Daniella</v>
      </c>
      <c r="F9" s="58">
        <v>4</v>
      </c>
      <c r="G9" s="217"/>
      <c r="H9" s="156">
        <f t="shared" si="2"/>
        <v>0</v>
      </c>
      <c r="I9" s="50"/>
      <c r="J9" s="50"/>
      <c r="K9" s="50"/>
      <c r="L9" s="50"/>
      <c r="M9" s="50"/>
      <c r="N9" s="50"/>
      <c r="O9" s="50"/>
      <c r="P9" s="50"/>
      <c r="Q9" s="50"/>
      <c r="R9" s="50"/>
      <c r="AC9" s="59" t="s">
        <v>46</v>
      </c>
      <c r="AD9" s="7" t="s">
        <v>42</v>
      </c>
      <c r="AE9" s="7" t="s">
        <v>59</v>
      </c>
      <c r="AH9" s="158"/>
    </row>
    <row r="10" spans="1:34" ht="15.75" customHeight="1">
      <c r="A10" s="280">
        <v>2024289662719</v>
      </c>
      <c r="B10" s="57" t="s">
        <v>38</v>
      </c>
      <c r="C10" s="57" t="s">
        <v>39</v>
      </c>
      <c r="D10" s="142" t="str">
        <f t="shared" si="0"/>
        <v>Dirk De Brabander</v>
      </c>
      <c r="E10" s="107" t="str">
        <f>_xlfn.TEXTBEFORE(D10," ")&amp;" De Br"</f>
        <v>Dirk De Br</v>
      </c>
      <c r="F10" s="58">
        <v>3</v>
      </c>
      <c r="G10" s="217"/>
      <c r="H10" s="156">
        <f t="shared" si="2"/>
        <v>0</v>
      </c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1"/>
      <c r="T10" s="157" t="s">
        <v>29</v>
      </c>
      <c r="U10" s="206"/>
      <c r="AC10" s="59" t="s">
        <v>46</v>
      </c>
      <c r="AD10" s="7" t="s">
        <v>133</v>
      </c>
      <c r="AH10" s="158"/>
    </row>
    <row r="11" spans="1:34" ht="15.75" customHeight="1">
      <c r="A11" s="280">
        <v>2025478930404</v>
      </c>
      <c r="B11" s="57" t="s">
        <v>38</v>
      </c>
      <c r="C11" s="57" t="s">
        <v>175</v>
      </c>
      <c r="D11" s="142" t="str">
        <f t="shared" si="0"/>
        <v>Dirk Desante</v>
      </c>
      <c r="E11" s="107" t="str">
        <f>_xlfn.TEXTBEFORE(D11," ")&amp;" Des"</f>
        <v>Dirk Des</v>
      </c>
      <c r="F11" s="58">
        <v>3</v>
      </c>
      <c r="G11" s="217"/>
      <c r="H11" s="156">
        <f t="shared" si="2"/>
        <v>0</v>
      </c>
      <c r="I11" s="50"/>
      <c r="J11" s="50"/>
      <c r="K11" s="50"/>
      <c r="L11" s="50"/>
      <c r="M11" s="50"/>
      <c r="N11" s="50"/>
      <c r="O11" s="50"/>
      <c r="P11" s="50"/>
      <c r="Q11" s="50"/>
      <c r="R11" s="50"/>
      <c r="T11" s="157" t="s">
        <v>30</v>
      </c>
      <c r="U11" s="206"/>
      <c r="AC11" s="59" t="s">
        <v>58</v>
      </c>
      <c r="AD11" s="7" t="s">
        <v>134</v>
      </c>
      <c r="AH11" s="158"/>
    </row>
    <row r="12" spans="1:34" ht="15.75" customHeight="1">
      <c r="A12" s="280">
        <v>2024301368896</v>
      </c>
      <c r="B12" s="57" t="s">
        <v>115</v>
      </c>
      <c r="C12" s="57" t="s">
        <v>80</v>
      </c>
      <c r="D12" s="142" t="str">
        <f t="shared" si="0"/>
        <v>Etienne Saveyn</v>
      </c>
      <c r="E12" s="107" t="str">
        <f t="shared" ref="E12:E36" si="3">_xlfn.TEXTBEFORE(D12," ")</f>
        <v>Etienne</v>
      </c>
      <c r="F12" s="58">
        <v>3</v>
      </c>
      <c r="G12" s="217"/>
      <c r="H12" s="156">
        <f t="shared" si="2"/>
        <v>1</v>
      </c>
      <c r="I12" s="42"/>
      <c r="J12" s="42"/>
      <c r="K12" s="50"/>
      <c r="L12" s="42"/>
      <c r="M12" s="42"/>
      <c r="N12" s="42"/>
      <c r="O12" s="42" t="s">
        <v>176</v>
      </c>
      <c r="P12" s="42"/>
      <c r="Q12" s="42"/>
      <c r="R12" s="42"/>
      <c r="X12" s="111"/>
      <c r="AC12" s="59" t="s">
        <v>47</v>
      </c>
      <c r="AD12" s="7" t="s">
        <v>43</v>
      </c>
      <c r="AH12" s="158"/>
    </row>
    <row r="13" spans="1:34" ht="15.75" customHeight="1">
      <c r="A13" s="280">
        <v>2024347369024</v>
      </c>
      <c r="B13" s="57" t="s">
        <v>49</v>
      </c>
      <c r="C13" s="57" t="s">
        <v>50</v>
      </c>
      <c r="D13" s="142" t="str">
        <f t="shared" si="0"/>
        <v>Filip Dejans</v>
      </c>
      <c r="E13" s="107" t="str">
        <f t="shared" si="3"/>
        <v>Filip</v>
      </c>
      <c r="F13" s="58">
        <v>3</v>
      </c>
      <c r="G13" s="217"/>
      <c r="H13" s="156">
        <f t="shared" si="2"/>
        <v>1</v>
      </c>
      <c r="I13" s="50"/>
      <c r="J13" s="50"/>
      <c r="K13" s="50"/>
      <c r="L13" s="50"/>
      <c r="M13" s="50"/>
      <c r="N13" s="50" t="s">
        <v>176</v>
      </c>
      <c r="O13" s="50"/>
      <c r="P13" s="50"/>
      <c r="Q13" s="50"/>
      <c r="R13" s="50"/>
      <c r="T13" s="157" t="s">
        <v>165</v>
      </c>
      <c r="AC13" s="159"/>
      <c r="AD13" s="160"/>
      <c r="AE13" s="160"/>
      <c r="AF13" s="160"/>
      <c r="AG13" s="160"/>
      <c r="AH13" s="161"/>
    </row>
    <row r="14" spans="1:34" ht="15.75" customHeight="1">
      <c r="A14" s="280">
        <v>2024361945488</v>
      </c>
      <c r="B14" s="57" t="s">
        <v>27</v>
      </c>
      <c r="C14" s="57" t="s">
        <v>81</v>
      </c>
      <c r="D14" s="142" t="str">
        <f t="shared" si="0"/>
        <v>Francine Thienpont</v>
      </c>
      <c r="E14" s="107" t="str">
        <f t="shared" si="3"/>
        <v>Francine</v>
      </c>
      <c r="F14" s="58">
        <v>3</v>
      </c>
      <c r="G14" s="217"/>
      <c r="H14" s="156">
        <f t="shared" si="2"/>
        <v>1</v>
      </c>
      <c r="I14" s="50"/>
      <c r="J14" s="50"/>
      <c r="K14" s="50"/>
      <c r="L14" s="50"/>
      <c r="M14" s="50"/>
      <c r="N14" s="50"/>
      <c r="O14" s="50" t="s">
        <v>176</v>
      </c>
      <c r="P14" s="50"/>
      <c r="Q14" s="50"/>
      <c r="R14" s="50"/>
      <c r="T14" s="157" t="s">
        <v>166</v>
      </c>
      <c r="W14" s="206"/>
    </row>
    <row r="15" spans="1:34" ht="15.75" customHeight="1">
      <c r="A15" s="280">
        <v>2024061580781</v>
      </c>
      <c r="B15" s="57" t="s">
        <v>225</v>
      </c>
      <c r="C15" s="57" t="s">
        <v>226</v>
      </c>
      <c r="D15" s="142" t="str">
        <f t="shared" si="0"/>
        <v>Frans Catteeuw</v>
      </c>
      <c r="E15" s="107" t="str">
        <f t="shared" si="3"/>
        <v>Frans</v>
      </c>
      <c r="F15" s="58" t="s">
        <v>116</v>
      </c>
      <c r="G15" s="217"/>
      <c r="H15" s="156">
        <f t="shared" si="2"/>
        <v>0</v>
      </c>
      <c r="I15" s="50"/>
      <c r="J15" s="50"/>
      <c r="K15" s="50"/>
      <c r="L15" s="50"/>
      <c r="M15" s="50"/>
      <c r="N15" s="50"/>
      <c r="O15" s="50"/>
      <c r="P15" s="50"/>
      <c r="Q15" s="50"/>
      <c r="R15" s="50"/>
      <c r="AC15" s="7" t="s">
        <v>51</v>
      </c>
      <c r="AD15" s="7" t="s">
        <v>69</v>
      </c>
    </row>
    <row r="16" spans="1:34" ht="15.75" customHeight="1">
      <c r="A16" s="280">
        <v>2024397306543</v>
      </c>
      <c r="B16" s="57" t="s">
        <v>20</v>
      </c>
      <c r="C16" s="57" t="s">
        <v>82</v>
      </c>
      <c r="D16" s="142" t="str">
        <f t="shared" si="0"/>
        <v>Freddy Moerman</v>
      </c>
      <c r="E16" s="107" t="str">
        <f t="shared" si="3"/>
        <v>Freddy</v>
      </c>
      <c r="F16" s="58">
        <v>4</v>
      </c>
      <c r="G16" s="217"/>
      <c r="H16" s="156">
        <f t="shared" si="2"/>
        <v>0</v>
      </c>
      <c r="I16" s="50"/>
      <c r="J16" s="50"/>
      <c r="K16" s="50"/>
      <c r="L16" s="50"/>
      <c r="M16" s="50"/>
      <c r="N16" s="50"/>
      <c r="O16" s="50"/>
      <c r="P16" s="50"/>
      <c r="Q16" s="50"/>
      <c r="R16" s="50"/>
      <c r="AC16" s="7" t="s">
        <v>73</v>
      </c>
      <c r="AD16" s="7" t="s">
        <v>70</v>
      </c>
    </row>
    <row r="17" spans="1:31" ht="15.75" customHeight="1">
      <c r="A17" s="280">
        <v>2024407436093</v>
      </c>
      <c r="B17" s="57" t="s">
        <v>68</v>
      </c>
      <c r="C17" s="57" t="s">
        <v>65</v>
      </c>
      <c r="D17" s="142" t="str">
        <f t="shared" si="0"/>
        <v>Georges Tollenaere</v>
      </c>
      <c r="E17" s="107" t="str">
        <f t="shared" si="3"/>
        <v>Georges</v>
      </c>
      <c r="F17" s="58" t="s">
        <v>116</v>
      </c>
      <c r="G17" s="217"/>
      <c r="H17" s="156">
        <f t="shared" si="2"/>
        <v>0</v>
      </c>
      <c r="I17" s="50"/>
      <c r="J17" s="50"/>
      <c r="K17" s="50"/>
      <c r="L17" s="50"/>
      <c r="M17" s="50"/>
      <c r="N17" s="50"/>
      <c r="O17" s="50"/>
      <c r="P17" s="50"/>
      <c r="Q17" s="50"/>
      <c r="R17" s="50"/>
      <c r="AC17" s="7" t="s">
        <v>74</v>
      </c>
      <c r="AD17" s="7" t="s">
        <v>71</v>
      </c>
    </row>
    <row r="18" spans="1:31" ht="15.75" customHeight="1">
      <c r="A18" s="280">
        <v>2024897774514</v>
      </c>
      <c r="B18" s="57" t="s">
        <v>148</v>
      </c>
      <c r="C18" s="57" t="s">
        <v>149</v>
      </c>
      <c r="D18" s="142" t="str">
        <f t="shared" si="0"/>
        <v>Gina Van Den Bossche</v>
      </c>
      <c r="E18" s="107" t="str">
        <f t="shared" si="3"/>
        <v>Gina</v>
      </c>
      <c r="F18" s="58">
        <v>3</v>
      </c>
      <c r="G18" s="217"/>
      <c r="H18" s="156">
        <f t="shared" si="2"/>
        <v>0</v>
      </c>
      <c r="I18" s="50"/>
      <c r="J18" s="50"/>
      <c r="K18" s="50"/>
      <c r="L18" s="50"/>
      <c r="M18" s="50"/>
      <c r="N18" s="50"/>
      <c r="O18" s="50"/>
      <c r="P18" s="50"/>
      <c r="Q18" s="50"/>
      <c r="R18" s="50"/>
      <c r="AC18" s="7" t="s">
        <v>75</v>
      </c>
      <c r="AD18" s="7" t="s">
        <v>72</v>
      </c>
    </row>
    <row r="19" spans="1:31" ht="15.75" customHeight="1">
      <c r="A19" s="280">
        <v>2024417949798</v>
      </c>
      <c r="B19" s="57" t="s">
        <v>17</v>
      </c>
      <c r="C19" s="57" t="s">
        <v>83</v>
      </c>
      <c r="D19" s="142" t="str">
        <f t="shared" si="0"/>
        <v>Herman Buysse</v>
      </c>
      <c r="E19" s="107" t="str">
        <f t="shared" si="3"/>
        <v>Herman</v>
      </c>
      <c r="F19" s="58">
        <v>4</v>
      </c>
      <c r="G19" s="217"/>
      <c r="H19" s="156">
        <f t="shared" si="2"/>
        <v>1</v>
      </c>
      <c r="I19" s="50" t="s">
        <v>176</v>
      </c>
      <c r="J19" s="50"/>
      <c r="K19" s="50"/>
      <c r="L19" s="50"/>
      <c r="M19" s="50"/>
      <c r="N19" s="50"/>
      <c r="O19" s="50"/>
      <c r="P19" s="50"/>
      <c r="Q19" s="50"/>
      <c r="R19" s="50"/>
    </row>
    <row r="20" spans="1:31" ht="15.75" customHeight="1">
      <c r="A20" s="280">
        <v>2024446703811</v>
      </c>
      <c r="B20" s="57" t="s">
        <v>14</v>
      </c>
      <c r="C20" s="57" t="s">
        <v>84</v>
      </c>
      <c r="D20" s="142" t="str">
        <f t="shared" si="0"/>
        <v>Hubert Verplaetse</v>
      </c>
      <c r="E20" s="107" t="str">
        <f t="shared" si="3"/>
        <v>Hubert</v>
      </c>
      <c r="F20" s="58">
        <v>4</v>
      </c>
      <c r="G20" s="217"/>
      <c r="H20" s="156">
        <f t="shared" si="2"/>
        <v>2</v>
      </c>
      <c r="I20" s="50" t="s">
        <v>176</v>
      </c>
      <c r="J20" s="50"/>
      <c r="K20" s="50"/>
      <c r="L20" s="50" t="s">
        <v>176</v>
      </c>
      <c r="M20" s="50"/>
      <c r="N20" s="50"/>
      <c r="O20" s="50"/>
      <c r="P20" s="50"/>
      <c r="Q20" s="50"/>
      <c r="R20" s="50"/>
    </row>
    <row r="21" spans="1:31" ht="15.75" customHeight="1">
      <c r="A21" s="280">
        <v>2024345715762</v>
      </c>
      <c r="B21" s="57" t="s">
        <v>164</v>
      </c>
      <c r="C21" s="57" t="s">
        <v>163</v>
      </c>
      <c r="D21" s="142" t="str">
        <f t="shared" si="0"/>
        <v>Ivan Scheir</v>
      </c>
      <c r="E21" s="107" t="str">
        <f t="shared" si="3"/>
        <v>Ivan</v>
      </c>
      <c r="F21" s="58">
        <v>4</v>
      </c>
      <c r="G21" s="217"/>
      <c r="H21" s="156">
        <f t="shared" si="2"/>
        <v>0</v>
      </c>
      <c r="I21" s="50"/>
      <c r="J21" s="50"/>
      <c r="K21" s="50"/>
      <c r="L21" s="50"/>
      <c r="M21" s="50"/>
      <c r="N21" s="50"/>
      <c r="O21" s="50"/>
      <c r="P21" s="50"/>
      <c r="Q21" s="50"/>
      <c r="R21" s="50"/>
    </row>
    <row r="22" spans="1:31" ht="15.75" customHeight="1">
      <c r="A22" s="280">
        <v>2024474115211</v>
      </c>
      <c r="B22" s="57" t="s">
        <v>3</v>
      </c>
      <c r="C22" s="57" t="s">
        <v>31</v>
      </c>
      <c r="D22" s="142" t="str">
        <f t="shared" si="0"/>
        <v>Jacqueline Geubels</v>
      </c>
      <c r="E22" s="107" t="str">
        <f t="shared" si="3"/>
        <v>Jacqueline</v>
      </c>
      <c r="F22" s="58">
        <v>4</v>
      </c>
      <c r="G22" s="217"/>
      <c r="H22" s="156">
        <f t="shared" si="2"/>
        <v>0</v>
      </c>
      <c r="I22" s="50"/>
      <c r="J22" s="50"/>
      <c r="K22" s="50"/>
      <c r="L22" s="50"/>
      <c r="M22" s="50"/>
      <c r="N22" s="50"/>
      <c r="O22" s="50"/>
      <c r="P22" s="50"/>
      <c r="Q22" s="50"/>
      <c r="R22" s="50"/>
    </row>
    <row r="23" spans="1:31" ht="15.75" customHeight="1">
      <c r="A23" s="280">
        <v>2024539863262</v>
      </c>
      <c r="B23" s="57" t="s">
        <v>23</v>
      </c>
      <c r="C23" s="57" t="s">
        <v>85</v>
      </c>
      <c r="D23" s="142" t="str">
        <f t="shared" si="0"/>
        <v>Jacques De Meester</v>
      </c>
      <c r="E23" s="107" t="str">
        <f t="shared" si="3"/>
        <v>Jacques</v>
      </c>
      <c r="F23" s="58">
        <v>4</v>
      </c>
      <c r="G23" s="217"/>
      <c r="H23" s="156">
        <f t="shared" si="2"/>
        <v>0</v>
      </c>
      <c r="I23" s="50"/>
      <c r="J23" s="50"/>
      <c r="K23" s="50"/>
      <c r="L23" s="50"/>
      <c r="M23" s="50"/>
      <c r="N23" s="50"/>
      <c r="O23" s="50"/>
      <c r="P23" s="50"/>
      <c r="Q23" s="50"/>
      <c r="R23" s="50"/>
      <c r="T23" s="7" t="s">
        <v>125</v>
      </c>
    </row>
    <row r="24" spans="1:31" ht="15.75" customHeight="1">
      <c r="A24" s="280">
        <v>2024570393490</v>
      </c>
      <c r="B24" s="244" t="s">
        <v>64</v>
      </c>
      <c r="C24" s="57" t="s">
        <v>40</v>
      </c>
      <c r="D24" s="142" t="str">
        <f t="shared" si="0"/>
        <v>JeanM. Van Veirdeghem</v>
      </c>
      <c r="E24" s="107" t="str">
        <f t="shared" si="3"/>
        <v>JeanM.</v>
      </c>
      <c r="F24" s="58">
        <v>3</v>
      </c>
      <c r="G24" s="217"/>
      <c r="H24" s="156">
        <f t="shared" si="2"/>
        <v>0</v>
      </c>
      <c r="I24" s="50"/>
      <c r="J24" s="50"/>
      <c r="K24" s="50"/>
      <c r="L24" s="50"/>
      <c r="M24" s="50"/>
      <c r="N24" s="50"/>
      <c r="O24" s="50"/>
      <c r="P24" s="50"/>
      <c r="Q24" s="50"/>
      <c r="R24" s="50"/>
      <c r="T24" s="7" t="s">
        <v>125</v>
      </c>
    </row>
    <row r="25" spans="1:31" ht="15.75" customHeight="1">
      <c r="A25" s="280">
        <v>2026000000046</v>
      </c>
      <c r="B25" s="57" t="s">
        <v>262</v>
      </c>
      <c r="C25" s="57" t="s">
        <v>258</v>
      </c>
      <c r="D25" s="142" t="str">
        <f t="shared" si="0"/>
        <v>Jeroom Van Severen</v>
      </c>
      <c r="E25" s="107" t="str">
        <f t="shared" si="3"/>
        <v>Jeroom</v>
      </c>
      <c r="F25" s="58">
        <v>4</v>
      </c>
      <c r="G25" s="217"/>
      <c r="H25" s="156">
        <f t="shared" si="2"/>
        <v>0</v>
      </c>
      <c r="I25" s="50"/>
      <c r="J25" s="50"/>
      <c r="K25" s="50"/>
      <c r="L25" s="50"/>
      <c r="M25" s="50"/>
      <c r="N25" s="50"/>
      <c r="O25" s="50"/>
      <c r="P25" s="50"/>
      <c r="Q25" s="50"/>
      <c r="R25" s="50"/>
      <c r="AD25" s="112"/>
      <c r="AE25" s="112"/>
    </row>
    <row r="26" spans="1:31" ht="15.75" customHeight="1">
      <c r="A26" s="280">
        <v>2024589453932</v>
      </c>
      <c r="B26" s="57" t="s">
        <v>223</v>
      </c>
      <c r="C26" s="57" t="s">
        <v>224</v>
      </c>
      <c r="D26" s="142" t="str">
        <f t="shared" si="0"/>
        <v>Johan Saey</v>
      </c>
      <c r="E26" s="107" t="str">
        <f t="shared" si="3"/>
        <v>Johan</v>
      </c>
      <c r="F26" s="58" t="s">
        <v>116</v>
      </c>
      <c r="G26" s="217"/>
      <c r="H26" s="156">
        <f t="shared" si="2"/>
        <v>0</v>
      </c>
      <c r="I26" s="50"/>
      <c r="J26" s="50"/>
      <c r="K26" s="50"/>
      <c r="L26" s="50"/>
      <c r="M26" s="50"/>
      <c r="N26" s="50"/>
      <c r="O26" s="50"/>
      <c r="P26" s="50"/>
      <c r="Q26" s="50"/>
      <c r="R26" s="50"/>
      <c r="T26" s="72"/>
    </row>
    <row r="27" spans="1:31" ht="15.75" customHeight="1">
      <c r="A27" s="280">
        <v>2025926312752</v>
      </c>
      <c r="B27" s="267" t="s">
        <v>173</v>
      </c>
      <c r="C27" s="86" t="s">
        <v>174</v>
      </c>
      <c r="D27" s="142" t="str">
        <f t="shared" si="0"/>
        <v>Jozef Van Landeghem</v>
      </c>
      <c r="E27" s="107" t="str">
        <f t="shared" si="3"/>
        <v>Jozef</v>
      </c>
      <c r="F27" s="58">
        <v>4</v>
      </c>
      <c r="G27" s="217"/>
      <c r="H27" s="156">
        <f t="shared" si="2"/>
        <v>0</v>
      </c>
      <c r="AD27" s="112"/>
      <c r="AE27" s="112"/>
    </row>
    <row r="28" spans="1:31" ht="15.75" customHeight="1">
      <c r="A28" s="280">
        <v>2024573180226</v>
      </c>
      <c r="B28" s="57" t="s">
        <v>117</v>
      </c>
      <c r="C28" s="57" t="s">
        <v>121</v>
      </c>
      <c r="D28" s="142" t="str">
        <f t="shared" si="0"/>
        <v>Julien Herrebaut</v>
      </c>
      <c r="E28" s="107" t="str">
        <f t="shared" si="3"/>
        <v>Julien</v>
      </c>
      <c r="F28" s="58">
        <v>3</v>
      </c>
      <c r="G28" s="217"/>
      <c r="H28" s="156">
        <f t="shared" si="2"/>
        <v>0</v>
      </c>
      <c r="I28" s="50"/>
      <c r="J28" s="50"/>
      <c r="K28" s="50"/>
      <c r="L28" s="50"/>
      <c r="M28" s="50"/>
      <c r="N28" s="50"/>
      <c r="O28" s="50"/>
      <c r="P28" s="50"/>
      <c r="Q28" s="50"/>
      <c r="R28" s="50"/>
    </row>
    <row r="29" spans="1:31" ht="15.75" customHeight="1">
      <c r="A29" s="280">
        <v>2024592020688</v>
      </c>
      <c r="B29" s="57" t="s">
        <v>13</v>
      </c>
      <c r="C29" s="57" t="s">
        <v>86</v>
      </c>
      <c r="D29" s="142" t="str">
        <f t="shared" si="0"/>
        <v>Lucien Van Peteghem</v>
      </c>
      <c r="E29" s="107" t="str">
        <f t="shared" si="3"/>
        <v>Lucien</v>
      </c>
      <c r="F29" s="58">
        <v>4</v>
      </c>
      <c r="G29" s="217"/>
      <c r="H29" s="156">
        <f t="shared" si="2"/>
        <v>0</v>
      </c>
      <c r="I29" s="50"/>
      <c r="J29" s="50"/>
      <c r="K29" s="50"/>
      <c r="L29" s="50"/>
      <c r="M29" s="50"/>
      <c r="N29" s="50"/>
      <c r="O29" s="50"/>
      <c r="P29" s="50"/>
      <c r="Q29" s="50"/>
      <c r="R29" s="50"/>
      <c r="AD29" s="112"/>
      <c r="AE29" s="112"/>
    </row>
    <row r="30" spans="1:31" ht="15.75" customHeight="1">
      <c r="A30" s="280">
        <v>2024593209167</v>
      </c>
      <c r="B30" s="57" t="s">
        <v>95</v>
      </c>
      <c r="C30" s="57" t="s">
        <v>96</v>
      </c>
      <c r="D30" s="142" t="str">
        <f t="shared" si="0"/>
        <v>Lutgarde Vanderhaegen</v>
      </c>
      <c r="E30" s="107" t="str">
        <f t="shared" si="3"/>
        <v>Lutgarde</v>
      </c>
      <c r="F30" s="58">
        <v>3</v>
      </c>
      <c r="G30" s="217"/>
      <c r="H30" s="156">
        <f t="shared" si="2"/>
        <v>0</v>
      </c>
      <c r="I30" s="50"/>
      <c r="J30" s="50"/>
      <c r="K30" s="50"/>
      <c r="L30" s="50"/>
      <c r="M30" s="50"/>
      <c r="N30" s="50"/>
      <c r="O30" s="50"/>
      <c r="P30" s="50"/>
      <c r="Q30" s="50"/>
      <c r="R30" s="50"/>
    </row>
    <row r="31" spans="1:31" ht="15.75" customHeight="1">
      <c r="A31" s="280">
        <v>2024612640223</v>
      </c>
      <c r="B31" s="86" t="s">
        <v>285</v>
      </c>
      <c r="C31" s="57" t="s">
        <v>286</v>
      </c>
      <c r="D31" s="142" t="str">
        <f t="shared" si="0"/>
        <v>Lydie Ysveld</v>
      </c>
      <c r="E31" s="107" t="str">
        <f t="shared" si="3"/>
        <v>Lydie</v>
      </c>
      <c r="F31" s="58" t="s">
        <v>116</v>
      </c>
      <c r="G31" s="217"/>
      <c r="H31" s="156">
        <f t="shared" si="2"/>
        <v>0</v>
      </c>
      <c r="I31" s="50"/>
      <c r="J31" s="50"/>
      <c r="K31" s="50"/>
      <c r="L31" s="50"/>
      <c r="M31" s="50"/>
      <c r="N31" s="50"/>
      <c r="O31" s="50"/>
      <c r="P31" s="50"/>
      <c r="Q31" s="50"/>
      <c r="R31" s="50"/>
    </row>
    <row r="32" spans="1:31" ht="15.75" customHeight="1">
      <c r="A32" s="280">
        <v>2024102180710</v>
      </c>
      <c r="B32" s="57" t="s">
        <v>146</v>
      </c>
      <c r="C32" s="57" t="s">
        <v>151</v>
      </c>
      <c r="D32" s="142" t="str">
        <f t="shared" si="0"/>
        <v>Marc Ediers</v>
      </c>
      <c r="E32" s="107" t="str">
        <f t="shared" si="3"/>
        <v>Marc</v>
      </c>
      <c r="F32" s="58">
        <v>4</v>
      </c>
      <c r="G32" s="217"/>
      <c r="H32" s="156">
        <f t="shared" si="2"/>
        <v>0</v>
      </c>
      <c r="I32" s="50"/>
      <c r="J32" s="50"/>
      <c r="K32" s="50"/>
      <c r="L32" s="50"/>
      <c r="M32" s="50"/>
      <c r="N32" s="50"/>
      <c r="O32" s="50"/>
      <c r="P32" s="50"/>
      <c r="Q32" s="50"/>
      <c r="R32" s="50"/>
    </row>
    <row r="33" spans="1:18" ht="15.75" customHeight="1">
      <c r="A33" s="280">
        <v>2024614807303</v>
      </c>
      <c r="B33" s="57" t="s">
        <v>66</v>
      </c>
      <c r="C33" s="57" t="s">
        <v>67</v>
      </c>
      <c r="D33" s="142" t="str">
        <f t="shared" si="0"/>
        <v>Marguerite Van Hende</v>
      </c>
      <c r="E33" s="107" t="str">
        <f t="shared" si="3"/>
        <v>Marguerite</v>
      </c>
      <c r="F33" s="58">
        <v>3</v>
      </c>
      <c r="G33" s="217"/>
      <c r="H33" s="156">
        <f t="shared" si="2"/>
        <v>0</v>
      </c>
      <c r="I33" s="50"/>
      <c r="J33" s="50"/>
      <c r="K33" s="50"/>
      <c r="L33" s="50"/>
      <c r="M33" s="50"/>
      <c r="N33" s="50"/>
      <c r="O33" s="50"/>
      <c r="P33" s="50"/>
      <c r="Q33" s="50"/>
      <c r="R33" s="50"/>
    </row>
    <row r="34" spans="1:18" ht="15.75" customHeight="1">
      <c r="A34" s="280">
        <v>2024664149804</v>
      </c>
      <c r="B34" s="57" t="s">
        <v>21</v>
      </c>
      <c r="C34" s="57" t="s">
        <v>87</v>
      </c>
      <c r="D34" s="142" t="str">
        <f t="shared" si="0"/>
        <v>Marleen Denert</v>
      </c>
      <c r="E34" s="107" t="str">
        <f t="shared" si="3"/>
        <v>Marleen</v>
      </c>
      <c r="F34" s="58" t="s">
        <v>116</v>
      </c>
      <c r="G34" s="217"/>
      <c r="H34" s="156">
        <f t="shared" si="2"/>
        <v>1</v>
      </c>
      <c r="I34" s="50" t="s">
        <v>176</v>
      </c>
      <c r="J34" s="50"/>
      <c r="K34" s="50"/>
      <c r="L34" s="50"/>
      <c r="M34" s="50"/>
      <c r="N34" s="50"/>
      <c r="O34" s="50"/>
      <c r="P34" s="50"/>
      <c r="Q34" s="50"/>
      <c r="R34" s="50"/>
    </row>
    <row r="35" spans="1:18" ht="15.75" customHeight="1">
      <c r="A35" s="280">
        <v>2024685370591</v>
      </c>
      <c r="B35" s="57" t="s">
        <v>18</v>
      </c>
      <c r="C35" s="57" t="s">
        <v>88</v>
      </c>
      <c r="D35" s="142" t="str">
        <f t="shared" ref="D35:D53" si="4">B35&amp;" "&amp;C35</f>
        <v>Michel Van Laere</v>
      </c>
      <c r="E35" s="107" t="str">
        <f t="shared" si="3"/>
        <v>Michel</v>
      </c>
      <c r="F35" s="58">
        <v>3</v>
      </c>
      <c r="G35" s="217"/>
      <c r="H35" s="156">
        <f t="shared" ref="H35:H52" si="5">COUNTIF(I35:S35,"R")</f>
        <v>0</v>
      </c>
      <c r="I35" s="50"/>
      <c r="J35" s="50"/>
      <c r="K35" s="50"/>
      <c r="L35" s="50"/>
      <c r="M35" s="50"/>
      <c r="N35" s="50"/>
      <c r="O35" s="50"/>
      <c r="P35" s="50"/>
      <c r="Q35" s="50"/>
      <c r="R35" s="50"/>
    </row>
    <row r="36" spans="1:18" ht="15.75" customHeight="1">
      <c r="A36" s="280">
        <v>2024695852261</v>
      </c>
      <c r="B36" s="57" t="s">
        <v>19</v>
      </c>
      <c r="C36" s="57" t="s">
        <v>89</v>
      </c>
      <c r="D36" s="142" t="str">
        <f t="shared" si="4"/>
        <v>Nestor Meirte</v>
      </c>
      <c r="E36" s="107" t="str">
        <f t="shared" si="3"/>
        <v>Nestor</v>
      </c>
      <c r="F36" s="58">
        <v>3</v>
      </c>
      <c r="G36" s="217"/>
      <c r="H36" s="156">
        <f t="shared" si="5"/>
        <v>0</v>
      </c>
      <c r="I36" s="50"/>
      <c r="J36" s="50"/>
      <c r="K36" s="50"/>
      <c r="L36" s="50"/>
      <c r="M36" s="50"/>
      <c r="N36" s="50"/>
      <c r="O36" s="50"/>
      <c r="P36" s="50"/>
      <c r="Q36" s="50"/>
      <c r="R36" s="50"/>
    </row>
    <row r="37" spans="1:18" ht="15.75" customHeight="1">
      <c r="A37" s="286">
        <v>2024703804244</v>
      </c>
      <c r="B37" s="57" t="s">
        <v>16</v>
      </c>
      <c r="C37" s="57" t="s">
        <v>90</v>
      </c>
      <c r="D37" s="142" t="str">
        <f t="shared" si="4"/>
        <v>Patrick Geys</v>
      </c>
      <c r="E37" s="107" t="str">
        <f>_xlfn.TEXTBEFORE(D37," ")&amp; " Geys"</f>
        <v>Patrick Geys</v>
      </c>
      <c r="F37" s="58">
        <v>4</v>
      </c>
      <c r="G37" s="217"/>
      <c r="H37" s="156">
        <f t="shared" si="5"/>
        <v>1</v>
      </c>
      <c r="I37" s="50" t="s">
        <v>176</v>
      </c>
      <c r="J37" s="50"/>
      <c r="K37" s="50"/>
      <c r="L37" s="50"/>
      <c r="M37" s="50"/>
      <c r="N37" s="50"/>
      <c r="O37" s="50"/>
      <c r="P37" s="50"/>
      <c r="Q37" s="50"/>
      <c r="R37" s="50"/>
    </row>
    <row r="38" spans="1:18" ht="15.75" customHeight="1">
      <c r="A38" s="284">
        <v>2026000000015</v>
      </c>
      <c r="B38" s="57" t="s">
        <v>16</v>
      </c>
      <c r="C38" s="86" t="s">
        <v>275</v>
      </c>
      <c r="D38" s="142" t="str">
        <f t="shared" si="4"/>
        <v>Patrick Vande Kerckhove</v>
      </c>
      <c r="E38" s="107" t="str">
        <f>_xlfn.TEXTBEFORE(D38," ")&amp;" VDK"</f>
        <v>Patrick VDK</v>
      </c>
      <c r="F38" s="58" t="s">
        <v>116</v>
      </c>
      <c r="G38" s="217"/>
      <c r="H38" s="156">
        <f t="shared" si="5"/>
        <v>0</v>
      </c>
      <c r="I38" s="50"/>
      <c r="J38" s="50"/>
      <c r="K38" s="50"/>
      <c r="L38" s="50"/>
      <c r="M38" s="50"/>
      <c r="N38" s="50"/>
      <c r="O38" s="50"/>
      <c r="P38" s="50"/>
      <c r="Q38" s="50"/>
      <c r="R38" s="50"/>
    </row>
    <row r="39" spans="1:18" ht="15.75" customHeight="1">
      <c r="A39" s="280">
        <v>2024812304109</v>
      </c>
      <c r="B39" s="57" t="s">
        <v>28</v>
      </c>
      <c r="C39" s="57" t="s">
        <v>91</v>
      </c>
      <c r="D39" s="142" t="str">
        <f t="shared" si="4"/>
        <v>Pol Callebert</v>
      </c>
      <c r="E39" s="107" t="str">
        <f>_xlfn.TEXTBEFORE(D39," ")</f>
        <v>Pol</v>
      </c>
      <c r="F39" s="58">
        <v>4</v>
      </c>
      <c r="G39" s="217"/>
      <c r="H39" s="156">
        <f t="shared" si="5"/>
        <v>0</v>
      </c>
      <c r="I39" s="50"/>
      <c r="J39" s="50"/>
      <c r="K39" s="50"/>
      <c r="L39" s="50"/>
      <c r="M39" s="50"/>
      <c r="N39" s="50"/>
      <c r="O39" s="50"/>
      <c r="P39" s="50"/>
      <c r="Q39" s="50"/>
      <c r="R39" s="50"/>
    </row>
    <row r="40" spans="1:18" ht="15.75" customHeight="1">
      <c r="A40" s="280">
        <v>2024814433142</v>
      </c>
      <c r="B40" s="57" t="s">
        <v>22</v>
      </c>
      <c r="C40" s="57" t="s">
        <v>92</v>
      </c>
      <c r="D40" s="142" t="str">
        <f t="shared" si="4"/>
        <v>Regina De Pauw</v>
      </c>
      <c r="E40" s="107" t="str">
        <f>_xlfn.TEXTBEFORE(D40," ")</f>
        <v>Regina</v>
      </c>
      <c r="F40" s="58">
        <v>3</v>
      </c>
      <c r="G40" s="217"/>
      <c r="H40" s="156">
        <f t="shared" si="5"/>
        <v>0</v>
      </c>
      <c r="I40" s="50"/>
      <c r="J40" s="50"/>
      <c r="K40" s="50"/>
      <c r="L40" s="50"/>
      <c r="M40" s="50"/>
      <c r="N40" s="50"/>
      <c r="O40" s="50"/>
      <c r="P40" s="50"/>
      <c r="Q40" s="50"/>
      <c r="R40" s="50"/>
    </row>
    <row r="41" spans="1:18" ht="15.75" customHeight="1">
      <c r="A41" s="280">
        <v>2024244055105</v>
      </c>
      <c r="B41" s="57" t="s">
        <v>177</v>
      </c>
      <c r="C41" s="57" t="s">
        <v>152</v>
      </c>
      <c r="D41" s="142" t="str">
        <f t="shared" si="4"/>
        <v>Rita Van Helleputte</v>
      </c>
      <c r="E41" s="107" t="str">
        <f>_xlfn.TEXTBEFORE(D41," ")</f>
        <v>Rita</v>
      </c>
      <c r="F41" s="58" t="s">
        <v>116</v>
      </c>
      <c r="G41" s="217"/>
      <c r="H41" s="156">
        <f t="shared" si="5"/>
        <v>0</v>
      </c>
      <c r="I41" s="50"/>
      <c r="J41" s="50"/>
      <c r="K41" s="50"/>
      <c r="L41" s="50"/>
      <c r="M41" s="50"/>
      <c r="N41" s="50"/>
      <c r="O41" s="50"/>
      <c r="P41" s="50"/>
      <c r="Q41" s="50"/>
      <c r="R41" s="50"/>
    </row>
    <row r="42" spans="1:18" ht="15.75" customHeight="1">
      <c r="A42" s="280">
        <v>2024883590098</v>
      </c>
      <c r="B42" s="57" t="s">
        <v>24</v>
      </c>
      <c r="C42" s="57" t="s">
        <v>93</v>
      </c>
      <c r="D42" s="142" t="str">
        <f t="shared" si="4"/>
        <v>Roger Schietse</v>
      </c>
      <c r="E42" s="107" t="str">
        <f>_xlfn.TEXTBEFORE(D42," ")&amp;" Schietse"</f>
        <v>Roger Schietse</v>
      </c>
      <c r="F42" s="58">
        <v>3</v>
      </c>
      <c r="G42" s="217"/>
      <c r="H42" s="156">
        <f t="shared" si="5"/>
        <v>0</v>
      </c>
      <c r="I42" s="50"/>
      <c r="J42" s="50"/>
      <c r="K42" s="50"/>
      <c r="L42" s="50"/>
      <c r="M42" s="50"/>
      <c r="N42" s="50"/>
      <c r="O42" s="50"/>
      <c r="P42" s="50"/>
      <c r="Q42" s="50"/>
      <c r="R42" s="50"/>
    </row>
    <row r="43" spans="1:18" ht="15.75" customHeight="1">
      <c r="A43" s="280">
        <v>2024890409789</v>
      </c>
      <c r="B43" s="57" t="s">
        <v>24</v>
      </c>
      <c r="C43" s="57" t="s">
        <v>86</v>
      </c>
      <c r="D43" s="142" t="str">
        <f t="shared" si="4"/>
        <v>Roger Van Peteghem</v>
      </c>
      <c r="E43" s="107" t="str">
        <f>_xlfn.TEXTBEFORE(D43," ")&amp;" Van P"</f>
        <v>Roger Van P</v>
      </c>
      <c r="F43" s="58">
        <v>4</v>
      </c>
      <c r="G43" s="217"/>
      <c r="H43" s="156">
        <f t="shared" si="5"/>
        <v>0</v>
      </c>
      <c r="I43" s="50"/>
      <c r="J43" s="50"/>
      <c r="K43" s="50"/>
      <c r="L43" s="50"/>
      <c r="M43" s="50"/>
      <c r="N43" s="50"/>
      <c r="O43" s="50"/>
      <c r="P43" s="50"/>
      <c r="Q43" s="50"/>
      <c r="R43" s="50"/>
    </row>
    <row r="44" spans="1:18" ht="15.75" customHeight="1">
      <c r="A44" s="280">
        <v>2024483011399</v>
      </c>
      <c r="B44" s="57" t="s">
        <v>243</v>
      </c>
      <c r="C44" s="57" t="s">
        <v>144</v>
      </c>
      <c r="D44" s="142" t="str">
        <f t="shared" si="4"/>
        <v>Rosane Biasino</v>
      </c>
      <c r="E44" s="107" t="str">
        <f t="shared" ref="E44:E53" si="6">_xlfn.TEXTBEFORE(D44," ")</f>
        <v>Rosane</v>
      </c>
      <c r="F44" s="58">
        <v>4</v>
      </c>
      <c r="G44" s="217"/>
      <c r="H44" s="156">
        <f t="shared" si="5"/>
        <v>0</v>
      </c>
      <c r="I44" s="50"/>
      <c r="J44" s="50"/>
      <c r="K44" s="50"/>
      <c r="L44" s="50"/>
      <c r="M44" s="50"/>
      <c r="N44" s="50"/>
      <c r="O44" s="50"/>
      <c r="P44" s="50"/>
      <c r="Q44" s="50"/>
      <c r="R44" s="50"/>
    </row>
    <row r="45" spans="1:18" ht="15.75" customHeight="1">
      <c r="A45" s="280">
        <v>2024893485131</v>
      </c>
      <c r="B45" s="57" t="s">
        <v>12</v>
      </c>
      <c r="C45" s="57" t="s">
        <v>94</v>
      </c>
      <c r="D45" s="142" t="str">
        <f t="shared" si="4"/>
        <v>Simonne Pauwels</v>
      </c>
      <c r="E45" s="107" t="str">
        <f t="shared" si="6"/>
        <v>Simonne</v>
      </c>
      <c r="F45" s="58">
        <v>4</v>
      </c>
      <c r="G45" s="217"/>
      <c r="H45" s="156">
        <f t="shared" si="5"/>
        <v>0</v>
      </c>
      <c r="I45" s="50"/>
      <c r="J45" s="50"/>
      <c r="K45" s="50"/>
      <c r="L45" s="50"/>
      <c r="M45" s="50"/>
      <c r="N45" s="50"/>
      <c r="O45" s="50"/>
      <c r="P45" s="50"/>
      <c r="Q45" s="50"/>
      <c r="R45" s="50"/>
    </row>
    <row r="46" spans="1:18" ht="15.75" customHeight="1">
      <c r="A46" s="280">
        <v>2024615078207</v>
      </c>
      <c r="B46" s="57" t="s">
        <v>277</v>
      </c>
      <c r="C46" s="57" t="s">
        <v>278</v>
      </c>
      <c r="D46" s="142" t="str">
        <f t="shared" si="4"/>
        <v>Stan  Astaes</v>
      </c>
      <c r="E46" s="107" t="str">
        <f t="shared" si="6"/>
        <v>Stan</v>
      </c>
      <c r="F46" s="58" t="s">
        <v>116</v>
      </c>
      <c r="G46" s="217"/>
      <c r="H46" s="156">
        <f t="shared" si="5"/>
        <v>0</v>
      </c>
      <c r="I46" s="50"/>
      <c r="J46" s="50"/>
      <c r="K46" s="50"/>
      <c r="L46" s="50"/>
      <c r="M46" s="50"/>
      <c r="N46" s="50"/>
      <c r="O46" s="50"/>
      <c r="P46" s="50"/>
      <c r="Q46" s="50"/>
      <c r="R46" s="50"/>
    </row>
    <row r="47" spans="1:18" ht="15.75" customHeight="1">
      <c r="A47" s="280">
        <v>2024095588555</v>
      </c>
      <c r="B47" s="57" t="s">
        <v>147</v>
      </c>
      <c r="C47" s="57" t="s">
        <v>153</v>
      </c>
      <c r="D47" s="142" t="str">
        <f t="shared" si="4"/>
        <v>Suzanne Muijters</v>
      </c>
      <c r="E47" s="107" t="str">
        <f t="shared" si="6"/>
        <v>Suzanne</v>
      </c>
      <c r="F47" s="58" t="s">
        <v>116</v>
      </c>
      <c r="G47" s="217"/>
      <c r="H47" s="156">
        <f t="shared" si="5"/>
        <v>0</v>
      </c>
      <c r="J47" s="162"/>
    </row>
    <row r="48" spans="1:18" ht="15.75" customHeight="1">
      <c r="A48" s="280">
        <v>2024908578193</v>
      </c>
      <c r="B48" s="57" t="s">
        <v>54</v>
      </c>
      <c r="C48" s="57" t="s">
        <v>55</v>
      </c>
      <c r="D48" s="142" t="str">
        <f t="shared" si="4"/>
        <v>Tony Criel</v>
      </c>
      <c r="E48" s="107" t="str">
        <f t="shared" si="6"/>
        <v>Tony</v>
      </c>
      <c r="F48" s="58">
        <v>3</v>
      </c>
      <c r="G48" s="217"/>
      <c r="H48" s="156">
        <f t="shared" si="5"/>
        <v>0</v>
      </c>
      <c r="I48" s="50"/>
      <c r="J48" s="50"/>
      <c r="K48" s="50"/>
      <c r="L48" s="50"/>
      <c r="M48" s="50"/>
      <c r="N48" s="50"/>
      <c r="O48" s="50"/>
      <c r="P48" s="50"/>
      <c r="Q48" s="50"/>
      <c r="R48" s="50"/>
    </row>
    <row r="49" spans="1:18" ht="15.75" customHeight="1">
      <c r="A49" s="280">
        <v>2024930999577</v>
      </c>
      <c r="B49" s="57" t="s">
        <v>15</v>
      </c>
      <c r="C49" s="57" t="s">
        <v>80</v>
      </c>
      <c r="D49" s="142" t="str">
        <f t="shared" si="4"/>
        <v>Walter Saveyn</v>
      </c>
      <c r="E49" s="107" t="str">
        <f t="shared" si="6"/>
        <v>Walter</v>
      </c>
      <c r="F49" s="58" t="s">
        <v>116</v>
      </c>
      <c r="G49" s="217"/>
      <c r="H49" s="156">
        <f t="shared" si="5"/>
        <v>2</v>
      </c>
      <c r="I49" s="50"/>
      <c r="J49" s="50"/>
      <c r="K49" s="50"/>
      <c r="L49" s="50" t="s">
        <v>176</v>
      </c>
      <c r="M49" s="50" t="s">
        <v>176</v>
      </c>
      <c r="N49" s="50"/>
      <c r="O49" s="50"/>
      <c r="P49" s="50"/>
      <c r="Q49" s="50"/>
      <c r="R49" s="50"/>
    </row>
    <row r="50" spans="1:18" ht="15.75" customHeight="1">
      <c r="A50" s="280">
        <v>2024011552646</v>
      </c>
      <c r="B50" s="57" t="s">
        <v>145</v>
      </c>
      <c r="C50" s="57" t="s">
        <v>150</v>
      </c>
      <c r="D50" s="142" t="str">
        <f t="shared" si="4"/>
        <v>Willy Duwyn</v>
      </c>
      <c r="E50" s="107" t="str">
        <f t="shared" si="6"/>
        <v>Willy</v>
      </c>
      <c r="F50" s="58" t="s">
        <v>116</v>
      </c>
      <c r="G50" s="217"/>
      <c r="H50" s="156">
        <f t="shared" si="5"/>
        <v>0</v>
      </c>
      <c r="I50" s="221"/>
      <c r="J50" s="221"/>
      <c r="K50" s="221"/>
      <c r="L50" s="221"/>
      <c r="M50" s="221"/>
      <c r="N50" s="221"/>
      <c r="O50" s="221"/>
      <c r="P50" s="221"/>
      <c r="Q50" s="221"/>
      <c r="R50" s="221"/>
    </row>
    <row r="51" spans="1:18" ht="15.75" customHeight="1">
      <c r="A51" s="285">
        <v>2024938422794</v>
      </c>
      <c r="B51" s="57" t="s">
        <v>11</v>
      </c>
      <c r="C51" s="57" t="s">
        <v>86</v>
      </c>
      <c r="D51" s="142" t="str">
        <f t="shared" si="4"/>
        <v>Wim Van Peteghem</v>
      </c>
      <c r="E51" s="107" t="str">
        <f t="shared" si="6"/>
        <v>Wim</v>
      </c>
      <c r="F51" s="58" t="s">
        <v>116</v>
      </c>
      <c r="G51" s="217"/>
      <c r="H51" s="156">
        <f t="shared" si="5"/>
        <v>0</v>
      </c>
      <c r="I51" s="50"/>
      <c r="J51" s="50"/>
      <c r="K51" s="50"/>
      <c r="L51" s="50"/>
      <c r="M51" s="50"/>
      <c r="N51" s="50"/>
      <c r="O51" s="50"/>
      <c r="P51" s="50"/>
      <c r="Q51" s="50"/>
      <c r="R51" s="50"/>
    </row>
    <row r="52" spans="1:18" ht="15.75" customHeight="1">
      <c r="A52" s="283" t="s">
        <v>284</v>
      </c>
      <c r="B52" s="86" t="s">
        <v>279</v>
      </c>
      <c r="C52" s="86" t="s">
        <v>280</v>
      </c>
      <c r="D52" s="142" t="str">
        <f t="shared" si="4"/>
        <v>ZZAnie  Leijman</v>
      </c>
      <c r="E52" s="107" t="str">
        <f t="shared" si="6"/>
        <v>ZZAnie</v>
      </c>
      <c r="F52" s="58" t="s">
        <v>116</v>
      </c>
      <c r="G52" s="217"/>
      <c r="H52" s="156">
        <f t="shared" si="5"/>
        <v>0</v>
      </c>
    </row>
    <row r="53" spans="1:18" ht="15.75" customHeight="1">
      <c r="A53" s="283" t="s">
        <v>282</v>
      </c>
      <c r="B53" s="57" t="s">
        <v>289</v>
      </c>
      <c r="C53" s="86" t="s">
        <v>290</v>
      </c>
      <c r="D53" s="142" t="str">
        <f t="shared" si="4"/>
        <v>Miek Dedeurwaerder</v>
      </c>
      <c r="E53" s="288" t="str">
        <f t="shared" si="6"/>
        <v>Miek</v>
      </c>
      <c r="F53" s="58" t="s">
        <v>116</v>
      </c>
      <c r="G53" s="217"/>
      <c r="H53" s="156"/>
      <c r="I53" s="50"/>
      <c r="J53" s="50"/>
      <c r="K53" s="50"/>
      <c r="L53" s="50"/>
      <c r="M53" s="50"/>
      <c r="N53" s="50"/>
      <c r="O53" s="50"/>
      <c r="P53" s="50"/>
      <c r="Q53" s="50"/>
      <c r="R53" s="50"/>
    </row>
    <row r="54" spans="1:18" ht="15.75" customHeight="1">
      <c r="A54" s="284" t="s">
        <v>283</v>
      </c>
      <c r="B54" s="57"/>
      <c r="C54" s="57"/>
      <c r="D54" s="57"/>
      <c r="E54" s="287"/>
      <c r="F54" s="58" t="s">
        <v>116</v>
      </c>
      <c r="G54" s="217"/>
      <c r="H54" s="156"/>
      <c r="I54" s="50" t="s">
        <v>97</v>
      </c>
      <c r="J54" s="50" t="s">
        <v>98</v>
      </c>
      <c r="K54" s="50" t="s">
        <v>99</v>
      </c>
      <c r="L54" s="50" t="s">
        <v>100</v>
      </c>
      <c r="M54" s="50" t="s">
        <v>101</v>
      </c>
      <c r="N54" s="50" t="s">
        <v>102</v>
      </c>
      <c r="O54" s="50" t="s">
        <v>103</v>
      </c>
      <c r="P54" s="50" t="s">
        <v>104</v>
      </c>
      <c r="Q54" s="50" t="s">
        <v>105</v>
      </c>
      <c r="R54" s="50" t="s">
        <v>106</v>
      </c>
    </row>
    <row r="55" spans="1:18" ht="15.75" customHeight="1">
      <c r="D55" s="142" t="str">
        <f>B55&amp;" "&amp;C55</f>
        <v xml:space="preserve"> </v>
      </c>
      <c r="E55" s="107"/>
      <c r="F55" s="58" t="s">
        <v>116</v>
      </c>
      <c r="G55" s="217"/>
      <c r="H55" s="156">
        <f>COUNTIF(I55:S55,"R")</f>
        <v>0</v>
      </c>
      <c r="I55" s="50"/>
      <c r="J55" s="50"/>
      <c r="K55" s="50"/>
      <c r="L55" s="50"/>
      <c r="M55" s="50"/>
      <c r="N55" s="50"/>
      <c r="O55" s="50"/>
      <c r="P55" s="50"/>
      <c r="Q55" s="50"/>
      <c r="R55" s="50"/>
    </row>
    <row r="56" spans="1:18" ht="15.75" customHeight="1">
      <c r="A56" s="93"/>
      <c r="B56" s="57"/>
      <c r="C56" s="57"/>
      <c r="D56" s="142" t="str">
        <f>B56&amp;" "&amp;C56</f>
        <v xml:space="preserve"> </v>
      </c>
      <c r="E56" s="107"/>
      <c r="F56" s="58" t="s">
        <v>116</v>
      </c>
      <c r="G56" s="217"/>
      <c r="H56" s="156">
        <f>COUNTIF(I56:S56,"R")</f>
        <v>0</v>
      </c>
      <c r="I56" s="50"/>
      <c r="J56" s="50"/>
      <c r="K56" s="50"/>
      <c r="L56" s="50"/>
      <c r="M56" s="50"/>
      <c r="N56" s="50"/>
      <c r="O56" s="50"/>
      <c r="P56" s="50"/>
      <c r="Q56" s="50"/>
      <c r="R56" s="50"/>
    </row>
    <row r="57" spans="1:18" ht="15.75" customHeight="1">
      <c r="B57" s="57"/>
      <c r="C57" s="234"/>
      <c r="D57" s="142"/>
      <c r="E57" s="107"/>
      <c r="F57" s="235" t="s">
        <v>116</v>
      </c>
      <c r="G57" s="217"/>
      <c r="H57" s="156"/>
      <c r="I57" s="50"/>
      <c r="J57" s="50"/>
      <c r="K57" s="50"/>
      <c r="L57" s="50"/>
      <c r="M57" s="50"/>
      <c r="N57" s="50"/>
      <c r="O57" s="50"/>
      <c r="P57" s="50"/>
      <c r="Q57" s="50"/>
      <c r="R57" s="50"/>
    </row>
    <row r="58" spans="1:18" ht="15.75" customHeight="1">
      <c r="B58" s="244"/>
      <c r="C58" s="240"/>
      <c r="D58" s="142"/>
      <c r="E58" s="241"/>
      <c r="F58" s="242" t="s">
        <v>116</v>
      </c>
      <c r="G58" s="233"/>
      <c r="H58" s="156"/>
      <c r="I58" s="50"/>
      <c r="J58" s="50"/>
      <c r="K58" s="50"/>
      <c r="L58" s="50"/>
      <c r="M58" s="50"/>
      <c r="N58" s="50"/>
      <c r="O58" s="50"/>
      <c r="P58" s="50"/>
      <c r="Q58" s="50"/>
      <c r="R58" s="50"/>
    </row>
    <row r="59" spans="1:18" ht="15.75" customHeight="1">
      <c r="B59" s="244"/>
      <c r="C59" s="243"/>
      <c r="D59" s="142"/>
      <c r="E59" s="241"/>
      <c r="F59" s="242" t="s">
        <v>116</v>
      </c>
      <c r="G59" s="233"/>
      <c r="H59" s="156"/>
      <c r="I59" s="50"/>
      <c r="J59" s="50"/>
      <c r="K59" s="50"/>
      <c r="L59" s="50"/>
      <c r="M59" s="50"/>
      <c r="N59" s="50"/>
      <c r="O59" s="50"/>
      <c r="P59" s="50"/>
      <c r="Q59" s="50"/>
      <c r="R59" s="50"/>
    </row>
    <row r="60" spans="1:18" ht="15.75" customHeight="1">
      <c r="B60" s="57"/>
      <c r="C60" s="236"/>
      <c r="D60" s="142"/>
      <c r="E60" s="237"/>
      <c r="F60" s="41" t="s">
        <v>116</v>
      </c>
      <c r="G60" s="217"/>
      <c r="H60" s="156"/>
      <c r="I60" s="50"/>
      <c r="J60" s="50"/>
      <c r="K60" s="50"/>
      <c r="L60" s="50"/>
      <c r="M60" s="50"/>
      <c r="N60" s="50"/>
      <c r="O60" s="50"/>
      <c r="P60" s="50"/>
      <c r="Q60" s="50"/>
      <c r="R60" s="50"/>
    </row>
    <row r="61" spans="1:18" ht="15.75" customHeight="1">
      <c r="B61" s="57"/>
      <c r="C61" s="57"/>
      <c r="D61" s="142"/>
      <c r="E61" s="107"/>
      <c r="F61" s="58" t="s">
        <v>116</v>
      </c>
      <c r="G61" s="217"/>
      <c r="H61" s="156"/>
      <c r="I61" s="50"/>
      <c r="J61" s="50"/>
      <c r="K61" s="50"/>
      <c r="L61" s="50"/>
      <c r="M61" s="50"/>
      <c r="N61" s="50"/>
      <c r="O61" s="50"/>
      <c r="P61" s="50"/>
      <c r="Q61" s="50"/>
      <c r="R61" s="50"/>
    </row>
    <row r="62" spans="1:18" ht="15.75" customHeight="1">
      <c r="B62" s="57"/>
      <c r="C62" s="57"/>
      <c r="D62" s="142"/>
      <c r="E62" s="107"/>
      <c r="F62" s="58" t="s">
        <v>116</v>
      </c>
      <c r="G62" s="217"/>
      <c r="H62" s="156"/>
      <c r="I62" s="50"/>
      <c r="J62" s="50"/>
      <c r="K62" s="50"/>
      <c r="L62" s="50"/>
      <c r="M62" s="50"/>
      <c r="N62" s="50"/>
      <c r="O62" s="50"/>
      <c r="P62" s="50"/>
      <c r="Q62" s="50"/>
      <c r="R62" s="50"/>
    </row>
    <row r="63" spans="1:18" ht="15.75" customHeight="1">
      <c r="B63" s="57"/>
      <c r="C63" s="57"/>
      <c r="D63" s="142"/>
      <c r="E63" s="107"/>
      <c r="F63" s="58" t="s">
        <v>116</v>
      </c>
      <c r="G63" s="217"/>
      <c r="H63" s="156"/>
      <c r="I63" s="50"/>
      <c r="J63" s="50"/>
      <c r="K63" s="50"/>
      <c r="L63" s="50"/>
      <c r="M63" s="50"/>
      <c r="N63" s="50"/>
      <c r="O63" s="50"/>
      <c r="P63" s="50"/>
      <c r="Q63" s="50"/>
      <c r="R63" s="50"/>
    </row>
    <row r="64" spans="1:18" ht="15.75" customHeight="1">
      <c r="B64" s="57"/>
      <c r="C64" s="57"/>
      <c r="D64" s="142"/>
      <c r="E64" s="107"/>
      <c r="F64" s="58" t="s">
        <v>116</v>
      </c>
      <c r="G64" s="217"/>
      <c r="H64" s="156"/>
      <c r="I64" s="50"/>
      <c r="J64" s="50"/>
      <c r="K64" s="50"/>
      <c r="L64" s="50"/>
      <c r="M64" s="50"/>
      <c r="N64" s="50"/>
      <c r="O64" s="50"/>
      <c r="P64" s="50"/>
      <c r="Q64" s="50"/>
      <c r="R64" s="50"/>
    </row>
    <row r="65" spans="1:19" ht="15.75" customHeight="1">
      <c r="B65" s="57"/>
      <c r="C65" s="57"/>
      <c r="D65" s="142"/>
      <c r="E65" s="107"/>
      <c r="F65" s="58" t="s">
        <v>116</v>
      </c>
      <c r="G65" s="217"/>
      <c r="H65" s="156"/>
      <c r="I65" s="50"/>
      <c r="J65" s="50"/>
      <c r="K65" s="50"/>
      <c r="L65" s="50"/>
      <c r="M65" s="50"/>
      <c r="N65" s="50"/>
      <c r="O65" s="50"/>
      <c r="P65" s="50"/>
      <c r="Q65" s="50"/>
      <c r="R65" s="50"/>
    </row>
    <row r="66" spans="1:19" ht="15.75" customHeight="1">
      <c r="B66" s="57"/>
      <c r="C66" s="57"/>
      <c r="D66" s="142"/>
      <c r="E66" s="90"/>
      <c r="F66" s="58" t="s">
        <v>116</v>
      </c>
      <c r="G66" s="217"/>
      <c r="H66" s="156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9"/>
    </row>
    <row r="67" spans="1:19" ht="15.75" customHeight="1">
      <c r="B67" s="57"/>
      <c r="C67" s="57"/>
      <c r="D67" s="142"/>
      <c r="E67" s="90"/>
      <c r="F67" s="58" t="s">
        <v>116</v>
      </c>
      <c r="G67" s="217"/>
      <c r="H67" s="156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9"/>
    </row>
    <row r="68" spans="1:19" ht="15.75" customHeight="1">
      <c r="B68" s="57"/>
      <c r="C68" s="57"/>
      <c r="D68" s="142"/>
      <c r="E68" s="90"/>
      <c r="F68" s="58" t="s">
        <v>116</v>
      </c>
      <c r="G68" s="217"/>
      <c r="H68" s="156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9"/>
    </row>
    <row r="69" spans="1:19" ht="15.75" customHeight="1">
      <c r="B69" s="57"/>
      <c r="C69" s="57"/>
      <c r="D69" s="142"/>
      <c r="E69" s="90"/>
      <c r="F69" s="58" t="s">
        <v>116</v>
      </c>
      <c r="G69" s="217"/>
      <c r="H69" s="156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9"/>
    </row>
    <row r="70" spans="1:19" ht="15.75" customHeight="1">
      <c r="B70" s="57"/>
      <c r="C70" s="57"/>
      <c r="D70" s="142"/>
      <c r="E70" s="90"/>
      <c r="F70" s="58" t="s">
        <v>116</v>
      </c>
      <c r="G70" s="217"/>
      <c r="H70" s="156"/>
      <c r="I70" s="21"/>
      <c r="J70" s="21"/>
      <c r="K70" s="182"/>
      <c r="L70" s="21"/>
      <c r="M70" s="21"/>
      <c r="N70" s="21"/>
      <c r="O70" s="21"/>
      <c r="P70" s="21"/>
      <c r="Q70" s="21"/>
      <c r="R70" s="21"/>
    </row>
    <row r="71" spans="1:19" s="1" customFormat="1" ht="18.75">
      <c r="A71" s="280"/>
      <c r="B71" s="57"/>
      <c r="C71" s="57"/>
      <c r="D71" s="142"/>
      <c r="E71" s="90"/>
      <c r="F71" s="58" t="s">
        <v>116</v>
      </c>
      <c r="G71" s="217"/>
      <c r="H71" s="156"/>
      <c r="I71" s="21"/>
      <c r="J71" s="21"/>
      <c r="K71" s="182"/>
      <c r="L71" s="21"/>
      <c r="M71" s="21"/>
      <c r="N71" s="21"/>
      <c r="O71" s="21"/>
      <c r="P71" s="21"/>
      <c r="Q71" s="21"/>
      <c r="R71" s="21"/>
    </row>
    <row r="72" spans="1:19" s="1" customFormat="1" ht="18.75">
      <c r="A72" s="280"/>
      <c r="B72" s="57"/>
      <c r="C72" s="57"/>
      <c r="D72" s="142"/>
      <c r="E72" s="90"/>
      <c r="F72" s="58" t="s">
        <v>116</v>
      </c>
      <c r="G72" s="217"/>
      <c r="H72" s="156"/>
      <c r="I72" s="21"/>
      <c r="J72" s="21"/>
      <c r="K72" s="182"/>
      <c r="L72" s="21"/>
      <c r="M72" s="21"/>
      <c r="N72" s="21"/>
      <c r="O72" s="21"/>
      <c r="P72" s="21"/>
      <c r="Q72" s="21"/>
      <c r="R72" s="21"/>
    </row>
    <row r="73" spans="1:19" s="1" customFormat="1" ht="18.75">
      <c r="A73" s="280"/>
      <c r="B73" s="86"/>
      <c r="C73" s="86"/>
      <c r="D73" s="142"/>
      <c r="E73" s="163"/>
      <c r="F73" s="164" t="s">
        <v>116</v>
      </c>
      <c r="G73" s="218"/>
      <c r="H73" s="156"/>
      <c r="I73" s="86"/>
      <c r="J73" s="162"/>
      <c r="K73" s="140"/>
      <c r="L73" s="86"/>
      <c r="M73" s="86"/>
      <c r="N73" s="86"/>
      <c r="O73" s="86"/>
      <c r="P73" s="86"/>
      <c r="Q73" s="86"/>
      <c r="R73" s="86"/>
    </row>
    <row r="74" spans="1:19" s="1" customFormat="1" ht="18.75">
      <c r="A74" s="280"/>
      <c r="B74" s="57"/>
      <c r="C74" s="57"/>
      <c r="D74" s="142"/>
      <c r="E74" s="90"/>
      <c r="F74" s="58" t="s">
        <v>116</v>
      </c>
      <c r="G74" s="217"/>
      <c r="H74" s="156"/>
      <c r="I74" s="21"/>
      <c r="J74" s="21"/>
      <c r="K74" s="182"/>
      <c r="L74" s="21"/>
      <c r="M74" s="21"/>
      <c r="N74" s="21"/>
      <c r="O74" s="21"/>
      <c r="P74" s="21"/>
      <c r="Q74" s="21"/>
      <c r="R74" s="21"/>
    </row>
    <row r="75" spans="1:19" s="1" customFormat="1" ht="18.75">
      <c r="A75" s="280"/>
      <c r="B75" s="57"/>
      <c r="C75" s="57"/>
      <c r="D75" s="142"/>
      <c r="E75" s="90"/>
      <c r="F75" s="58" t="s">
        <v>116</v>
      </c>
      <c r="G75" s="217"/>
      <c r="H75" s="156"/>
      <c r="I75" s="21"/>
      <c r="J75" s="21"/>
      <c r="K75" s="182"/>
      <c r="L75" s="21"/>
      <c r="M75" s="21"/>
      <c r="N75" s="21"/>
      <c r="O75" s="21"/>
      <c r="P75" s="21"/>
      <c r="Q75" s="21"/>
      <c r="R75" s="21"/>
    </row>
    <row r="76" spans="1:19" s="1" customFormat="1" ht="18.75">
      <c r="A76" s="280"/>
      <c r="B76" s="57"/>
      <c r="C76" s="57"/>
      <c r="D76" s="142"/>
      <c r="E76" s="91"/>
      <c r="F76" s="58" t="s">
        <v>116</v>
      </c>
      <c r="G76" s="217"/>
      <c r="H76" s="156"/>
      <c r="I76" s="21"/>
      <c r="J76" s="21"/>
      <c r="K76" s="182"/>
      <c r="L76" s="21"/>
      <c r="M76" s="21"/>
      <c r="N76" s="21"/>
      <c r="O76" s="21"/>
      <c r="P76" s="21"/>
      <c r="Q76" s="21"/>
      <c r="R76" s="21"/>
    </row>
    <row r="77" spans="1:19" s="1" customFormat="1" ht="18.75">
      <c r="A77" s="282"/>
      <c r="B77" s="57"/>
      <c r="C77" s="57"/>
      <c r="D77" s="142"/>
      <c r="E77" s="90"/>
      <c r="F77" s="58" t="s">
        <v>116</v>
      </c>
      <c r="G77" s="217"/>
      <c r="H77" s="156"/>
      <c r="I77" s="21"/>
      <c r="J77" s="21"/>
      <c r="K77" s="182"/>
      <c r="L77" s="21"/>
      <c r="M77" s="21"/>
      <c r="N77" s="21"/>
      <c r="O77" s="21"/>
      <c r="P77" s="21"/>
      <c r="Q77" s="21"/>
      <c r="R77" s="21"/>
    </row>
    <row r="78" spans="1:19" s="1" customFormat="1" ht="18.75">
      <c r="A78" s="282"/>
      <c r="B78" s="21"/>
      <c r="C78" s="21"/>
      <c r="D78" s="142"/>
      <c r="E78" s="108"/>
      <c r="F78" s="58" t="s">
        <v>116</v>
      </c>
      <c r="G78" s="217"/>
      <c r="H78" s="156"/>
      <c r="I78" s="21"/>
      <c r="J78" s="21"/>
      <c r="K78" s="182"/>
      <c r="L78" s="21"/>
      <c r="M78" s="21"/>
      <c r="N78" s="21"/>
      <c r="O78" s="21"/>
      <c r="P78" s="21"/>
      <c r="Q78" s="21"/>
      <c r="R78" s="21"/>
    </row>
    <row r="79" spans="1:19" s="1" customFormat="1" ht="18.75">
      <c r="A79" s="282"/>
      <c r="B79" s="21"/>
      <c r="C79" s="21"/>
      <c r="D79" s="142"/>
      <c r="E79" s="108"/>
      <c r="F79" s="58" t="s">
        <v>116</v>
      </c>
      <c r="G79" s="217"/>
      <c r="H79" s="156"/>
      <c r="I79" s="21"/>
      <c r="J79" s="21"/>
      <c r="K79" s="182"/>
      <c r="L79" s="21"/>
      <c r="M79" s="21"/>
      <c r="N79" s="21"/>
      <c r="O79" s="21"/>
      <c r="P79" s="21"/>
      <c r="Q79" s="21"/>
      <c r="R79" s="21"/>
    </row>
    <row r="80" spans="1:19" s="1" customFormat="1" ht="18.75">
      <c r="A80" s="282"/>
      <c r="B80" s="21"/>
      <c r="C80" s="21"/>
      <c r="D80" s="142"/>
      <c r="E80" s="108"/>
      <c r="F80" s="58" t="s">
        <v>116</v>
      </c>
      <c r="G80" s="217"/>
      <c r="H80" s="156"/>
      <c r="I80" s="21"/>
      <c r="J80" s="21"/>
      <c r="K80" s="182"/>
      <c r="L80" s="21"/>
      <c r="M80" s="21"/>
      <c r="N80" s="21"/>
      <c r="O80" s="21"/>
      <c r="P80" s="21"/>
      <c r="Q80" s="21"/>
      <c r="R80" s="21"/>
    </row>
    <row r="81" spans="1:18" s="1" customFormat="1" ht="18.75">
      <c r="A81" s="282"/>
      <c r="B81" s="21"/>
      <c r="C81" s="21"/>
      <c r="D81" s="142"/>
      <c r="E81" s="109"/>
      <c r="F81" s="41" t="s">
        <v>116</v>
      </c>
      <c r="G81" s="217"/>
      <c r="H81" s="165"/>
      <c r="I81" s="21"/>
      <c r="J81" s="21"/>
      <c r="K81" s="182"/>
      <c r="L81" s="21"/>
      <c r="M81" s="21"/>
      <c r="N81" s="21"/>
      <c r="O81" s="21"/>
      <c r="P81" s="21"/>
      <c r="Q81" s="21"/>
      <c r="R81" s="21"/>
    </row>
    <row r="82" spans="1:18" s="1" customFormat="1" ht="18.75">
      <c r="A82" s="282"/>
      <c r="B82" s="21"/>
      <c r="C82" s="21"/>
      <c r="D82" s="142"/>
      <c r="E82" s="109"/>
      <c r="F82" s="41" t="s">
        <v>116</v>
      </c>
      <c r="G82" s="217"/>
      <c r="H82" s="165"/>
      <c r="I82" s="21"/>
      <c r="J82" s="21"/>
      <c r="K82" s="182"/>
      <c r="L82" s="21"/>
      <c r="M82" s="21"/>
      <c r="N82" s="21"/>
      <c r="O82" s="21"/>
      <c r="P82" s="21"/>
      <c r="Q82" s="21"/>
      <c r="R82" s="21"/>
    </row>
    <row r="83" spans="1:18" s="1" customFormat="1" ht="18.75">
      <c r="A83" s="282"/>
      <c r="B83" s="21"/>
      <c r="C83" s="21"/>
      <c r="D83" s="142"/>
      <c r="E83" s="109"/>
      <c r="F83" s="41" t="s">
        <v>116</v>
      </c>
      <c r="G83" s="217"/>
      <c r="H83" s="165"/>
      <c r="I83" s="21"/>
      <c r="J83" s="21"/>
      <c r="K83" s="182"/>
      <c r="L83" s="21"/>
      <c r="M83" s="21"/>
      <c r="N83" s="21"/>
      <c r="O83" s="21"/>
      <c r="P83" s="21"/>
      <c r="Q83" s="21"/>
      <c r="R83" s="21"/>
    </row>
    <row r="84" spans="1:18" s="1" customFormat="1" ht="18.75">
      <c r="A84" s="282"/>
      <c r="B84" s="21"/>
      <c r="C84" s="21"/>
      <c r="D84" s="142"/>
      <c r="E84" s="108"/>
      <c r="F84" s="22" t="s">
        <v>116</v>
      </c>
      <c r="G84" s="219"/>
      <c r="H84" s="165"/>
      <c r="I84" s="21"/>
      <c r="J84" s="21"/>
      <c r="K84" s="182"/>
      <c r="L84" s="21"/>
      <c r="M84" s="21"/>
      <c r="N84" s="21"/>
      <c r="O84" s="21"/>
      <c r="P84" s="21"/>
      <c r="Q84" s="21"/>
      <c r="R84" s="21"/>
    </row>
    <row r="85" spans="1:18" s="1" customFormat="1" ht="18.75">
      <c r="A85" s="282"/>
      <c r="B85" s="21"/>
      <c r="C85" s="21"/>
      <c r="D85" s="142"/>
      <c r="E85" s="108"/>
      <c r="F85" s="22" t="s">
        <v>116</v>
      </c>
      <c r="G85" s="219"/>
      <c r="H85" s="165"/>
      <c r="I85" s="21"/>
      <c r="J85" s="21"/>
      <c r="K85" s="182"/>
      <c r="L85" s="21"/>
      <c r="M85" s="21"/>
      <c r="N85" s="21"/>
      <c r="O85" s="21"/>
      <c r="P85" s="21"/>
      <c r="Q85" s="21"/>
      <c r="R85" s="21"/>
    </row>
    <row r="86" spans="1:18" s="1" customFormat="1" ht="18.75">
      <c r="A86" s="282"/>
      <c r="B86" s="21"/>
      <c r="C86" s="21"/>
      <c r="D86" s="142"/>
      <c r="E86" s="108"/>
      <c r="F86" s="22" t="s">
        <v>116</v>
      </c>
      <c r="G86" s="219"/>
      <c r="H86" s="165"/>
      <c r="I86" s="21"/>
      <c r="J86" s="21"/>
      <c r="K86" s="182"/>
      <c r="L86" s="21"/>
      <c r="M86" s="21"/>
      <c r="N86" s="21"/>
      <c r="O86" s="21"/>
      <c r="P86" s="21"/>
      <c r="Q86" s="21"/>
      <c r="R86" s="21"/>
    </row>
    <row r="87" spans="1:18" s="1" customFormat="1" ht="18.75">
      <c r="A87" s="282"/>
      <c r="B87" s="21"/>
      <c r="C87" s="21"/>
      <c r="D87" s="142"/>
      <c r="E87" s="108"/>
      <c r="F87" s="22" t="s">
        <v>116</v>
      </c>
      <c r="G87" s="219"/>
      <c r="H87" s="165"/>
      <c r="I87" s="21"/>
      <c r="J87" s="21"/>
      <c r="K87" s="182"/>
      <c r="L87" s="21"/>
      <c r="M87" s="21"/>
      <c r="N87" s="21"/>
      <c r="O87" s="21"/>
      <c r="P87" s="21"/>
      <c r="Q87" s="21"/>
      <c r="R87" s="21"/>
    </row>
    <row r="88" spans="1:18" s="1" customFormat="1" ht="18.75">
      <c r="A88" s="282"/>
      <c r="B88" s="21"/>
      <c r="C88" s="21"/>
      <c r="D88" s="142"/>
      <c r="E88" s="108"/>
      <c r="F88" s="22" t="s">
        <v>116</v>
      </c>
      <c r="G88" s="219"/>
      <c r="H88" s="165"/>
      <c r="I88" s="21"/>
      <c r="J88" s="21"/>
      <c r="K88" s="182"/>
      <c r="L88" s="21"/>
      <c r="M88" s="21"/>
      <c r="N88" s="21"/>
      <c r="O88" s="21"/>
      <c r="P88" s="21"/>
      <c r="Q88" s="21"/>
      <c r="R88" s="21"/>
    </row>
    <row r="89" spans="1:18" s="1" customFormat="1" ht="18.75">
      <c r="A89" s="282"/>
      <c r="B89" s="21"/>
      <c r="C89" s="21"/>
      <c r="D89" s="142"/>
      <c r="E89" s="108"/>
      <c r="F89" s="22" t="s">
        <v>116</v>
      </c>
      <c r="G89" s="219"/>
      <c r="H89" s="165"/>
      <c r="I89" s="21"/>
      <c r="J89" s="21"/>
      <c r="K89" s="182"/>
      <c r="L89" s="21"/>
      <c r="M89" s="21"/>
      <c r="N89" s="21"/>
      <c r="O89" s="21"/>
      <c r="P89" s="21"/>
      <c r="Q89" s="21"/>
      <c r="R89" s="21"/>
    </row>
    <row r="90" spans="1:18" s="1" customFormat="1" ht="18.75">
      <c r="A90" s="282"/>
      <c r="B90" s="21"/>
      <c r="C90" s="21"/>
      <c r="D90" s="142"/>
      <c r="E90" s="108"/>
      <c r="F90" s="22" t="s">
        <v>116</v>
      </c>
      <c r="G90" s="219"/>
      <c r="H90" s="165"/>
      <c r="I90" s="21"/>
      <c r="J90" s="21"/>
      <c r="K90" s="182"/>
      <c r="L90" s="21"/>
      <c r="M90" s="21"/>
      <c r="N90" s="21"/>
      <c r="O90" s="21"/>
      <c r="P90" s="21"/>
      <c r="Q90" s="21"/>
      <c r="R90" s="21"/>
    </row>
    <row r="91" spans="1:18" s="1" customFormat="1" ht="18.75">
      <c r="A91" s="282"/>
      <c r="B91" s="21"/>
      <c r="C91" s="21"/>
      <c r="D91" s="142"/>
      <c r="E91" s="108"/>
      <c r="F91" s="22" t="s">
        <v>116</v>
      </c>
      <c r="G91" s="219"/>
      <c r="H91" s="165"/>
      <c r="I91" s="21"/>
      <c r="J91" s="21"/>
      <c r="K91" s="182"/>
      <c r="L91" s="21"/>
      <c r="M91" s="21"/>
      <c r="N91" s="21"/>
      <c r="O91" s="21"/>
      <c r="P91" s="21"/>
      <c r="Q91" s="21"/>
      <c r="R91" s="21"/>
    </row>
    <row r="92" spans="1:18" s="1" customFormat="1" ht="18.75">
      <c r="A92" s="282"/>
      <c r="B92" s="21"/>
      <c r="C92" s="21"/>
      <c r="D92" s="142"/>
      <c r="E92" s="108"/>
      <c r="F92" s="22" t="s">
        <v>116</v>
      </c>
      <c r="G92" s="219"/>
      <c r="H92" s="165"/>
      <c r="I92" s="21"/>
      <c r="J92" s="21"/>
      <c r="K92" s="182"/>
      <c r="L92" s="21"/>
      <c r="M92" s="21"/>
      <c r="N92" s="21"/>
      <c r="O92" s="21"/>
      <c r="P92" s="21"/>
      <c r="Q92" s="21"/>
      <c r="R92" s="21"/>
    </row>
    <row r="93" spans="1:18" s="1" customFormat="1" ht="18.75">
      <c r="A93" s="282"/>
      <c r="B93" s="21"/>
      <c r="C93" s="21"/>
      <c r="D93" s="142"/>
      <c r="E93" s="108"/>
      <c r="F93" s="22" t="s">
        <v>116</v>
      </c>
      <c r="G93" s="219"/>
      <c r="H93" s="165"/>
      <c r="I93" s="21"/>
      <c r="J93" s="21"/>
      <c r="K93" s="182"/>
      <c r="L93" s="21"/>
      <c r="M93" s="21"/>
      <c r="N93" s="21"/>
      <c r="O93" s="21"/>
      <c r="P93" s="21"/>
      <c r="Q93" s="21"/>
      <c r="R93" s="21"/>
    </row>
    <row r="94" spans="1:18" s="1" customFormat="1" ht="18.75">
      <c r="A94" s="282"/>
      <c r="B94" s="21"/>
      <c r="C94" s="21"/>
      <c r="D94" s="142"/>
      <c r="E94" s="108"/>
      <c r="F94" s="22" t="s">
        <v>116</v>
      </c>
      <c r="G94" s="219"/>
      <c r="H94" s="165"/>
      <c r="I94" s="21"/>
      <c r="J94" s="21"/>
      <c r="K94" s="182"/>
      <c r="L94" s="21"/>
      <c r="M94" s="21"/>
      <c r="N94" s="21"/>
      <c r="O94" s="21"/>
      <c r="P94" s="21"/>
      <c r="Q94" s="21"/>
      <c r="R94" s="21"/>
    </row>
    <row r="95" spans="1:18" s="1" customFormat="1" ht="18.75">
      <c r="A95" s="282"/>
      <c r="B95" s="21"/>
      <c r="C95" s="21"/>
      <c r="D95" s="142"/>
      <c r="E95" s="108"/>
      <c r="F95" s="22" t="s">
        <v>116</v>
      </c>
      <c r="G95" s="219"/>
      <c r="H95" s="165"/>
      <c r="I95" s="21"/>
      <c r="J95" s="21"/>
      <c r="K95" s="182"/>
      <c r="L95" s="21"/>
      <c r="M95" s="21"/>
      <c r="N95" s="21"/>
      <c r="O95" s="21"/>
      <c r="P95" s="21"/>
      <c r="Q95" s="21"/>
      <c r="R95" s="21"/>
    </row>
    <row r="96" spans="1:18" s="1" customFormat="1" ht="18.75">
      <c r="A96" s="282"/>
      <c r="B96" s="21"/>
      <c r="C96" s="21"/>
      <c r="D96" s="142"/>
      <c r="E96" s="108"/>
      <c r="F96" s="22" t="s">
        <v>116</v>
      </c>
      <c r="G96" s="219"/>
      <c r="H96" s="165"/>
      <c r="I96" s="21"/>
      <c r="J96" s="21"/>
      <c r="K96" s="182"/>
      <c r="L96" s="21"/>
      <c r="M96" s="21"/>
      <c r="N96" s="21"/>
      <c r="O96" s="21"/>
      <c r="P96" s="21"/>
      <c r="Q96" s="21"/>
      <c r="R96" s="21"/>
    </row>
    <row r="97" spans="1:18" s="1" customFormat="1" ht="18.75">
      <c r="A97" s="282"/>
      <c r="B97" s="21"/>
      <c r="C97" s="21"/>
      <c r="D97" s="142"/>
      <c r="E97" s="108"/>
      <c r="F97" s="22" t="s">
        <v>116</v>
      </c>
      <c r="G97" s="219"/>
      <c r="H97" s="165"/>
      <c r="I97" s="21"/>
      <c r="J97" s="21"/>
      <c r="K97" s="182"/>
      <c r="L97" s="21"/>
      <c r="M97" s="21"/>
      <c r="N97" s="21"/>
      <c r="O97" s="21"/>
      <c r="P97" s="21"/>
      <c r="Q97" s="21"/>
      <c r="R97" s="21"/>
    </row>
    <row r="98" spans="1:18" s="1" customFormat="1" ht="18.75">
      <c r="A98" s="282"/>
      <c r="B98" s="21"/>
      <c r="C98" s="21"/>
      <c r="D98" s="142"/>
      <c r="E98" s="108"/>
      <c r="F98" s="22" t="s">
        <v>116</v>
      </c>
      <c r="G98" s="219"/>
      <c r="H98" s="165"/>
      <c r="I98" s="21"/>
      <c r="J98" s="21"/>
      <c r="K98" s="182"/>
      <c r="L98" s="21"/>
      <c r="M98" s="21"/>
      <c r="N98" s="21"/>
      <c r="O98" s="21"/>
      <c r="P98" s="21"/>
      <c r="Q98" s="21"/>
      <c r="R98" s="21"/>
    </row>
    <row r="99" spans="1:18" s="1" customFormat="1" ht="18.75">
      <c r="A99" s="282"/>
      <c r="B99" s="21"/>
      <c r="C99" s="21"/>
      <c r="D99" s="142"/>
      <c r="E99" s="108"/>
      <c r="F99" s="22" t="s">
        <v>116</v>
      </c>
      <c r="G99" s="219"/>
      <c r="H99" s="165"/>
      <c r="I99" s="21"/>
      <c r="J99" s="21"/>
      <c r="K99" s="182"/>
      <c r="L99" s="21"/>
      <c r="M99" s="21"/>
      <c r="N99" s="21"/>
      <c r="O99" s="21"/>
      <c r="P99" s="21"/>
      <c r="Q99" s="21"/>
      <c r="R99" s="21"/>
    </row>
    <row r="100" spans="1:18" s="1" customFormat="1" ht="18.75">
      <c r="A100" s="282"/>
      <c r="B100" s="21"/>
      <c r="C100" s="21"/>
      <c r="D100" s="142"/>
      <c r="E100" s="108"/>
      <c r="F100" s="22" t="s">
        <v>116</v>
      </c>
      <c r="G100" s="219"/>
      <c r="H100" s="165"/>
      <c r="I100" s="21"/>
      <c r="J100" s="21"/>
      <c r="K100" s="182"/>
      <c r="L100" s="21"/>
      <c r="M100" s="21"/>
      <c r="N100" s="21"/>
      <c r="O100" s="21"/>
      <c r="P100" s="21"/>
      <c r="Q100" s="21"/>
      <c r="R100" s="21"/>
    </row>
    <row r="101" spans="1:18" s="1" customFormat="1" ht="18.75">
      <c r="A101" s="282"/>
      <c r="B101" s="21"/>
      <c r="C101" s="21"/>
      <c r="D101" s="142"/>
      <c r="E101" s="108"/>
      <c r="F101" s="22" t="s">
        <v>116</v>
      </c>
      <c r="G101" s="219"/>
      <c r="H101" s="165"/>
      <c r="I101" s="21"/>
      <c r="J101" s="21"/>
      <c r="K101" s="182"/>
      <c r="L101" s="21"/>
      <c r="M101" s="21"/>
      <c r="N101" s="21"/>
      <c r="O101" s="21"/>
      <c r="P101" s="21"/>
      <c r="Q101" s="21"/>
      <c r="R101" s="21"/>
    </row>
    <row r="102" spans="1:18" s="1" customFormat="1">
      <c r="A102" s="282"/>
      <c r="B102" s="21"/>
      <c r="C102" s="21"/>
      <c r="D102" s="141"/>
      <c r="E102" s="108"/>
      <c r="F102" s="22"/>
      <c r="G102" s="219"/>
      <c r="H102" s="165"/>
      <c r="I102" s="21"/>
      <c r="J102" s="21"/>
      <c r="K102" s="182"/>
      <c r="L102" s="21"/>
      <c r="M102" s="21"/>
      <c r="N102" s="21"/>
      <c r="O102" s="21"/>
      <c r="P102" s="21"/>
      <c r="Q102" s="21"/>
      <c r="R102" s="21"/>
    </row>
    <row r="103" spans="1:18" s="1" customFormat="1">
      <c r="A103" s="282"/>
      <c r="B103" s="21"/>
      <c r="C103" s="21"/>
      <c r="D103" s="141"/>
      <c r="E103" s="108"/>
      <c r="F103" s="22"/>
      <c r="G103" s="219"/>
      <c r="H103" s="165"/>
      <c r="I103" s="21"/>
      <c r="J103" s="21"/>
      <c r="K103" s="182"/>
      <c r="L103" s="21"/>
      <c r="M103" s="21"/>
      <c r="N103" s="21"/>
      <c r="O103" s="21"/>
      <c r="P103" s="21"/>
      <c r="Q103" s="21"/>
      <c r="R103" s="21"/>
    </row>
    <row r="104" spans="1:18" s="1" customFormat="1">
      <c r="A104" s="282"/>
      <c r="B104" s="21"/>
      <c r="C104" s="21"/>
      <c r="D104" s="141"/>
      <c r="E104" s="108"/>
      <c r="F104" s="22"/>
      <c r="G104" s="219"/>
      <c r="H104" s="165"/>
      <c r="I104" s="21"/>
      <c r="J104" s="21"/>
      <c r="K104" s="182"/>
      <c r="L104" s="21"/>
      <c r="M104" s="21"/>
      <c r="N104" s="21"/>
      <c r="O104" s="21"/>
      <c r="P104" s="21"/>
      <c r="Q104" s="21"/>
      <c r="R104" s="21"/>
    </row>
    <row r="105" spans="1:18" s="1" customFormat="1">
      <c r="A105" s="282"/>
      <c r="B105" s="21"/>
      <c r="C105" s="21"/>
      <c r="D105" s="141"/>
      <c r="E105" s="108"/>
      <c r="F105" s="22"/>
      <c r="G105" s="219"/>
      <c r="H105" s="165"/>
      <c r="I105" s="21"/>
      <c r="J105" s="21"/>
      <c r="K105" s="182"/>
      <c r="L105" s="21"/>
      <c r="M105" s="21"/>
      <c r="N105" s="21"/>
      <c r="O105" s="21"/>
      <c r="P105" s="21"/>
      <c r="Q105" s="21"/>
      <c r="R105" s="21"/>
    </row>
    <row r="106" spans="1:18" s="1" customFormat="1">
      <c r="A106" s="282"/>
      <c r="B106" s="21"/>
      <c r="C106" s="21"/>
      <c r="D106" s="141"/>
      <c r="E106" s="108"/>
      <c r="F106" s="22"/>
      <c r="G106" s="219"/>
      <c r="H106" s="165"/>
      <c r="I106" s="21"/>
      <c r="J106" s="21"/>
      <c r="K106" s="182"/>
      <c r="L106" s="21"/>
      <c r="M106" s="21"/>
      <c r="N106" s="21"/>
      <c r="O106" s="21"/>
      <c r="P106" s="21"/>
      <c r="Q106" s="21"/>
      <c r="R106" s="21"/>
    </row>
    <row r="107" spans="1:18" s="1" customFormat="1">
      <c r="A107" s="282"/>
      <c r="B107" s="21"/>
      <c r="C107" s="21"/>
      <c r="D107" s="141"/>
      <c r="E107" s="108"/>
      <c r="F107" s="22"/>
      <c r="G107" s="219"/>
      <c r="H107" s="165"/>
      <c r="I107" s="21"/>
      <c r="J107" s="21"/>
      <c r="K107" s="182"/>
      <c r="L107" s="21"/>
      <c r="M107" s="21"/>
      <c r="N107" s="21"/>
      <c r="O107" s="21"/>
      <c r="P107" s="21"/>
      <c r="Q107" s="21"/>
      <c r="R107" s="21"/>
    </row>
    <row r="108" spans="1:18" s="1" customFormat="1">
      <c r="A108" s="282"/>
      <c r="B108" s="21"/>
      <c r="C108" s="21"/>
      <c r="D108" s="141"/>
      <c r="E108" s="108"/>
      <c r="F108" s="22"/>
      <c r="G108" s="219"/>
      <c r="H108" s="165"/>
      <c r="I108" s="21"/>
      <c r="J108" s="21"/>
      <c r="K108" s="182"/>
      <c r="L108" s="21"/>
      <c r="M108" s="21"/>
      <c r="N108" s="21"/>
      <c r="O108" s="21"/>
      <c r="P108" s="21"/>
      <c r="Q108" s="21"/>
      <c r="R108" s="21"/>
    </row>
    <row r="109" spans="1:18" s="1" customFormat="1">
      <c r="A109" s="282"/>
      <c r="B109" s="21"/>
      <c r="C109" s="21"/>
      <c r="D109" s="141"/>
      <c r="E109" s="108"/>
      <c r="F109" s="22"/>
      <c r="G109" s="219"/>
      <c r="H109" s="165"/>
      <c r="I109" s="21"/>
      <c r="J109" s="21"/>
      <c r="K109" s="182"/>
      <c r="L109" s="21"/>
      <c r="M109" s="21"/>
      <c r="N109" s="21"/>
      <c r="O109" s="21"/>
      <c r="P109" s="21"/>
      <c r="Q109" s="21"/>
      <c r="R109" s="21"/>
    </row>
    <row r="110" spans="1:18" s="1" customFormat="1">
      <c r="A110" s="282"/>
      <c r="B110" s="21"/>
      <c r="C110" s="21"/>
      <c r="D110" s="141"/>
      <c r="E110" s="108"/>
      <c r="F110" s="22"/>
      <c r="G110" s="219"/>
      <c r="H110" s="165"/>
      <c r="I110" s="21"/>
      <c r="J110" s="21"/>
      <c r="K110" s="182"/>
      <c r="L110" s="21"/>
      <c r="M110" s="21"/>
      <c r="N110" s="21"/>
      <c r="O110" s="21"/>
      <c r="P110" s="21"/>
      <c r="Q110" s="21"/>
      <c r="R110" s="21"/>
    </row>
    <row r="111" spans="1:18" s="1" customFormat="1">
      <c r="A111" s="282"/>
      <c r="B111" s="21"/>
      <c r="C111" s="21"/>
      <c r="D111" s="141"/>
      <c r="E111" s="108"/>
      <c r="F111" s="22"/>
      <c r="G111" s="219"/>
      <c r="H111" s="165"/>
      <c r="I111" s="21"/>
      <c r="J111" s="21"/>
      <c r="K111" s="182"/>
      <c r="L111" s="21"/>
      <c r="M111" s="21"/>
      <c r="N111" s="21"/>
      <c r="O111" s="21"/>
      <c r="P111" s="21"/>
      <c r="Q111" s="21"/>
      <c r="R111" s="21"/>
    </row>
    <row r="112" spans="1:18" s="1" customFormat="1">
      <c r="A112" s="282"/>
      <c r="B112" s="21"/>
      <c r="C112" s="21"/>
      <c r="D112" s="141"/>
      <c r="E112" s="108"/>
      <c r="F112" s="22"/>
      <c r="G112" s="219"/>
      <c r="H112" s="165"/>
      <c r="I112" s="21"/>
      <c r="J112" s="21"/>
      <c r="K112" s="182"/>
      <c r="L112" s="21"/>
      <c r="M112" s="21"/>
      <c r="N112" s="21"/>
      <c r="O112" s="21"/>
      <c r="P112" s="21"/>
      <c r="Q112" s="21"/>
      <c r="R112" s="21"/>
    </row>
    <row r="113" spans="1:18" s="1" customFormat="1">
      <c r="A113" s="282"/>
      <c r="B113" s="21"/>
      <c r="C113" s="21"/>
      <c r="D113" s="141"/>
      <c r="E113" s="108"/>
      <c r="F113" s="22"/>
      <c r="G113" s="219"/>
      <c r="H113" s="165"/>
      <c r="I113" s="21"/>
      <c r="J113" s="21"/>
      <c r="K113" s="182"/>
      <c r="L113" s="21"/>
      <c r="M113" s="21"/>
      <c r="N113" s="21"/>
      <c r="O113" s="21"/>
      <c r="P113" s="21"/>
      <c r="Q113" s="21"/>
      <c r="R113" s="21"/>
    </row>
    <row r="114" spans="1:18" s="1" customFormat="1">
      <c r="A114" s="282"/>
      <c r="B114" s="21"/>
      <c r="C114" s="21"/>
      <c r="D114" s="141"/>
      <c r="E114" s="108"/>
      <c r="F114" s="22"/>
      <c r="G114" s="219"/>
      <c r="H114" s="165"/>
      <c r="I114" s="21"/>
      <c r="J114" s="21"/>
      <c r="K114" s="182"/>
      <c r="L114" s="21"/>
      <c r="M114" s="21"/>
      <c r="N114" s="21"/>
      <c r="O114" s="21"/>
      <c r="P114" s="21"/>
      <c r="Q114" s="21"/>
      <c r="R114" s="21"/>
    </row>
    <row r="115" spans="1:18" s="1" customFormat="1">
      <c r="A115" s="282"/>
      <c r="B115" s="21"/>
      <c r="C115" s="21"/>
      <c r="D115" s="141"/>
      <c r="E115" s="108"/>
      <c r="F115" s="22"/>
      <c r="G115" s="219"/>
      <c r="H115" s="165"/>
      <c r="I115" s="21"/>
      <c r="J115" s="21"/>
      <c r="K115" s="182"/>
      <c r="L115" s="21"/>
      <c r="M115" s="21"/>
      <c r="N115" s="21"/>
      <c r="O115" s="21"/>
      <c r="P115" s="21"/>
      <c r="Q115" s="21"/>
      <c r="R115" s="21"/>
    </row>
    <row r="116" spans="1:18" s="1" customFormat="1">
      <c r="A116" s="282"/>
      <c r="B116" s="21"/>
      <c r="C116" s="21"/>
      <c r="D116" s="141"/>
      <c r="E116" s="108"/>
      <c r="F116" s="22"/>
      <c r="G116" s="219"/>
      <c r="H116" s="165"/>
      <c r="I116" s="21"/>
      <c r="J116" s="21"/>
      <c r="K116" s="182"/>
      <c r="L116" s="21"/>
      <c r="M116" s="21"/>
      <c r="N116" s="21"/>
      <c r="O116" s="21"/>
      <c r="P116" s="21"/>
      <c r="Q116" s="21"/>
      <c r="R116" s="21"/>
    </row>
    <row r="117" spans="1:18" s="1" customFormat="1">
      <c r="A117" s="282"/>
      <c r="B117" s="21"/>
      <c r="C117" s="21"/>
      <c r="D117" s="141"/>
      <c r="E117" s="108"/>
      <c r="F117" s="22"/>
      <c r="G117" s="219"/>
      <c r="H117" s="165"/>
      <c r="I117" s="21"/>
      <c r="J117" s="21"/>
      <c r="K117" s="182"/>
      <c r="L117" s="21"/>
      <c r="M117" s="21"/>
      <c r="N117" s="21"/>
      <c r="O117" s="21"/>
      <c r="P117" s="21"/>
      <c r="Q117" s="21"/>
      <c r="R117" s="21"/>
    </row>
    <row r="118" spans="1:18" s="1" customFormat="1">
      <c r="A118" s="282"/>
      <c r="B118" s="21"/>
      <c r="C118" s="21"/>
      <c r="D118" s="141"/>
      <c r="E118" s="108"/>
      <c r="F118" s="22"/>
      <c r="G118" s="219"/>
      <c r="H118" s="165"/>
      <c r="I118" s="21"/>
      <c r="J118" s="21"/>
      <c r="K118" s="182"/>
      <c r="L118" s="21"/>
      <c r="M118" s="21"/>
      <c r="N118" s="21"/>
      <c r="O118" s="21"/>
      <c r="P118" s="21"/>
      <c r="Q118" s="21"/>
      <c r="R118" s="21"/>
    </row>
    <row r="119" spans="1:18" s="1" customFormat="1">
      <c r="A119" s="282"/>
      <c r="B119" s="21"/>
      <c r="C119" s="21"/>
      <c r="D119" s="141"/>
      <c r="E119" s="108"/>
      <c r="F119" s="22"/>
      <c r="G119" s="219"/>
      <c r="H119" s="165"/>
      <c r="I119" s="21"/>
      <c r="J119" s="21"/>
      <c r="K119" s="182"/>
      <c r="L119" s="21"/>
      <c r="M119" s="21"/>
      <c r="N119" s="21"/>
      <c r="O119" s="21"/>
      <c r="P119" s="21"/>
      <c r="Q119" s="21"/>
      <c r="R119" s="21"/>
    </row>
    <row r="120" spans="1:18" s="1" customFormat="1">
      <c r="A120" s="282"/>
      <c r="B120" s="21"/>
      <c r="C120" s="21"/>
      <c r="D120" s="141"/>
      <c r="E120" s="108"/>
      <c r="F120" s="22"/>
      <c r="G120" s="219"/>
      <c r="H120" s="165"/>
      <c r="I120" s="21"/>
      <c r="J120" s="21"/>
      <c r="K120" s="182"/>
      <c r="L120" s="21"/>
      <c r="M120" s="21"/>
      <c r="N120" s="21"/>
      <c r="O120" s="21"/>
      <c r="P120" s="21"/>
      <c r="Q120" s="21"/>
      <c r="R120" s="21"/>
    </row>
    <row r="121" spans="1:18" s="1" customFormat="1">
      <c r="A121" s="282"/>
      <c r="B121" s="21"/>
      <c r="C121" s="21"/>
      <c r="D121" s="141"/>
      <c r="E121" s="108"/>
      <c r="F121" s="22"/>
      <c r="G121" s="219"/>
      <c r="H121" s="165"/>
      <c r="I121" s="21"/>
      <c r="J121" s="21"/>
      <c r="K121" s="182"/>
      <c r="L121" s="21"/>
      <c r="M121" s="21"/>
      <c r="N121" s="21"/>
      <c r="O121" s="21"/>
      <c r="P121" s="21"/>
      <c r="Q121" s="21"/>
      <c r="R121" s="21"/>
    </row>
    <row r="122" spans="1:18" s="1" customFormat="1">
      <c r="A122" s="282"/>
      <c r="B122" s="21"/>
      <c r="C122" s="21"/>
      <c r="D122" s="141"/>
      <c r="E122" s="108"/>
      <c r="F122" s="22"/>
      <c r="G122" s="219"/>
      <c r="H122" s="165"/>
      <c r="I122" s="21"/>
      <c r="J122" s="21"/>
      <c r="K122" s="182"/>
      <c r="L122" s="21"/>
      <c r="M122" s="21"/>
      <c r="N122" s="21"/>
      <c r="O122" s="21"/>
      <c r="P122" s="21"/>
      <c r="Q122" s="21"/>
      <c r="R122" s="21"/>
    </row>
    <row r="123" spans="1:18" s="1" customFormat="1">
      <c r="A123" s="282"/>
      <c r="B123" s="21"/>
      <c r="C123" s="21"/>
      <c r="D123" s="141"/>
      <c r="E123" s="108"/>
      <c r="F123" s="22"/>
      <c r="G123" s="219"/>
      <c r="H123" s="165"/>
      <c r="I123" s="21"/>
      <c r="J123" s="21"/>
      <c r="K123" s="182"/>
      <c r="L123" s="21"/>
      <c r="M123" s="21"/>
      <c r="N123" s="21"/>
      <c r="O123" s="21"/>
      <c r="P123" s="21"/>
      <c r="Q123" s="21"/>
      <c r="R123" s="21"/>
    </row>
    <row r="124" spans="1:18" s="1" customFormat="1">
      <c r="A124" s="282"/>
      <c r="B124" s="21"/>
      <c r="C124" s="21"/>
      <c r="D124" s="141"/>
      <c r="E124" s="108"/>
      <c r="F124" s="22"/>
      <c r="G124" s="219"/>
      <c r="H124" s="165"/>
      <c r="I124" s="21"/>
      <c r="J124" s="21"/>
      <c r="K124" s="182"/>
      <c r="L124" s="21"/>
      <c r="M124" s="21"/>
      <c r="N124" s="21"/>
      <c r="O124" s="21"/>
      <c r="P124" s="21"/>
      <c r="Q124" s="21"/>
      <c r="R124" s="21"/>
    </row>
    <row r="125" spans="1:18" s="1" customFormat="1">
      <c r="A125" s="282"/>
      <c r="B125" s="21"/>
      <c r="C125" s="21"/>
      <c r="D125" s="141"/>
      <c r="E125" s="108"/>
      <c r="F125" s="22"/>
      <c r="G125" s="219"/>
      <c r="H125" s="165"/>
      <c r="I125" s="21"/>
      <c r="J125" s="21"/>
      <c r="K125" s="182"/>
      <c r="L125" s="21"/>
      <c r="M125" s="21"/>
      <c r="N125" s="21"/>
      <c r="O125" s="21"/>
      <c r="P125" s="21"/>
      <c r="Q125" s="21"/>
      <c r="R125" s="21"/>
    </row>
    <row r="126" spans="1:18" s="1" customFormat="1">
      <c r="A126" s="282"/>
      <c r="B126" s="21"/>
      <c r="C126" s="21"/>
      <c r="D126" s="141"/>
      <c r="E126" s="108"/>
      <c r="F126" s="22"/>
      <c r="G126" s="219"/>
      <c r="H126" s="165"/>
      <c r="I126" s="21"/>
      <c r="J126" s="21"/>
      <c r="K126" s="182"/>
      <c r="L126" s="21"/>
      <c r="M126" s="21"/>
      <c r="N126" s="21"/>
      <c r="O126" s="21"/>
      <c r="P126" s="21"/>
      <c r="Q126" s="21"/>
      <c r="R126" s="21"/>
    </row>
    <row r="127" spans="1:18" s="1" customFormat="1">
      <c r="A127" s="282"/>
      <c r="B127" s="21"/>
      <c r="C127" s="21"/>
      <c r="D127" s="141"/>
      <c r="E127" s="108"/>
      <c r="F127" s="22"/>
      <c r="G127" s="219"/>
      <c r="H127" s="165"/>
      <c r="I127" s="21"/>
      <c r="J127" s="21"/>
      <c r="K127" s="182"/>
      <c r="L127" s="21"/>
      <c r="M127" s="21"/>
      <c r="N127" s="21"/>
      <c r="O127" s="21"/>
      <c r="P127" s="21"/>
      <c r="Q127" s="21"/>
      <c r="R127" s="21"/>
    </row>
    <row r="128" spans="1:18" s="1" customFormat="1">
      <c r="A128" s="282"/>
      <c r="B128" s="21"/>
      <c r="C128" s="21"/>
      <c r="D128" s="141"/>
      <c r="E128" s="108"/>
      <c r="F128" s="22"/>
      <c r="G128" s="219"/>
      <c r="H128" s="165"/>
      <c r="I128" s="21"/>
      <c r="J128" s="21"/>
      <c r="K128" s="182"/>
      <c r="L128" s="21"/>
      <c r="M128" s="21"/>
      <c r="N128" s="21"/>
      <c r="O128" s="21"/>
      <c r="P128" s="21"/>
      <c r="Q128" s="21"/>
      <c r="R128" s="21"/>
    </row>
    <row r="129" spans="1:18" s="1" customFormat="1">
      <c r="A129" s="282"/>
      <c r="B129" s="21"/>
      <c r="C129" s="21"/>
      <c r="D129" s="141"/>
      <c r="E129" s="108"/>
      <c r="F129" s="22"/>
      <c r="G129" s="219"/>
      <c r="H129" s="165"/>
      <c r="I129" s="21"/>
      <c r="J129" s="21"/>
      <c r="K129" s="182"/>
      <c r="L129" s="21"/>
      <c r="M129" s="21"/>
      <c r="N129" s="21"/>
      <c r="O129" s="21"/>
      <c r="P129" s="21"/>
      <c r="Q129" s="21"/>
      <c r="R129" s="21"/>
    </row>
    <row r="130" spans="1:18" s="1" customFormat="1">
      <c r="A130" s="282"/>
      <c r="B130" s="21"/>
      <c r="C130" s="21"/>
      <c r="D130" s="141"/>
      <c r="E130" s="108"/>
      <c r="F130" s="22"/>
      <c r="G130" s="219"/>
      <c r="H130" s="165"/>
      <c r="I130" s="21"/>
      <c r="J130" s="21"/>
      <c r="K130" s="182"/>
      <c r="L130" s="21"/>
      <c r="M130" s="21"/>
      <c r="N130" s="21"/>
      <c r="O130" s="21"/>
      <c r="P130" s="21"/>
      <c r="Q130" s="21"/>
      <c r="R130" s="21"/>
    </row>
    <row r="131" spans="1:18" s="1" customFormat="1">
      <c r="A131" s="282"/>
      <c r="B131" s="21"/>
      <c r="C131" s="21"/>
      <c r="D131" s="141"/>
      <c r="E131" s="108"/>
      <c r="F131" s="22"/>
      <c r="G131" s="219"/>
      <c r="H131" s="165"/>
      <c r="I131" s="21"/>
      <c r="J131" s="21"/>
      <c r="K131" s="182"/>
      <c r="L131" s="21"/>
      <c r="M131" s="21"/>
      <c r="N131" s="21"/>
      <c r="O131" s="21"/>
      <c r="P131" s="21"/>
      <c r="Q131" s="21"/>
      <c r="R131" s="21"/>
    </row>
    <row r="132" spans="1:18" s="1" customFormat="1">
      <c r="A132" s="282"/>
      <c r="B132" s="21"/>
      <c r="C132" s="21"/>
      <c r="D132" s="141"/>
      <c r="E132" s="108"/>
      <c r="F132" s="22"/>
      <c r="G132" s="219"/>
      <c r="H132" s="165"/>
      <c r="I132" s="21"/>
      <c r="J132" s="21"/>
      <c r="K132" s="182"/>
      <c r="L132" s="21"/>
      <c r="M132" s="21"/>
      <c r="N132" s="21"/>
      <c r="O132" s="21"/>
      <c r="P132" s="21"/>
      <c r="Q132" s="21"/>
      <c r="R132" s="21"/>
    </row>
    <row r="133" spans="1:18" s="1" customFormat="1">
      <c r="A133" s="282"/>
      <c r="B133" s="21"/>
      <c r="C133" s="21"/>
      <c r="D133" s="141"/>
      <c r="E133" s="108"/>
      <c r="F133" s="22"/>
      <c r="G133" s="219"/>
      <c r="H133" s="165"/>
      <c r="I133" s="21"/>
      <c r="J133" s="21"/>
      <c r="K133" s="182"/>
      <c r="L133" s="21"/>
      <c r="M133" s="21"/>
      <c r="N133" s="21"/>
      <c r="O133" s="21"/>
      <c r="P133" s="21"/>
      <c r="Q133" s="21"/>
      <c r="R133" s="21"/>
    </row>
    <row r="134" spans="1:18" s="1" customFormat="1">
      <c r="A134" s="282"/>
      <c r="B134" s="21"/>
      <c r="C134" s="21"/>
      <c r="D134" s="141"/>
      <c r="E134" s="108"/>
      <c r="F134" s="22"/>
      <c r="G134" s="219"/>
      <c r="H134" s="165"/>
      <c r="I134" s="21"/>
      <c r="J134" s="21"/>
      <c r="K134" s="182"/>
      <c r="L134" s="21"/>
      <c r="M134" s="21"/>
      <c r="N134" s="21"/>
      <c r="O134" s="21"/>
      <c r="P134" s="21"/>
      <c r="Q134" s="21"/>
      <c r="R134" s="21"/>
    </row>
    <row r="135" spans="1:18" s="1" customFormat="1">
      <c r="A135" s="282"/>
      <c r="B135" s="21"/>
      <c r="C135" s="21"/>
      <c r="D135" s="141"/>
      <c r="E135" s="108"/>
      <c r="F135" s="22"/>
      <c r="G135" s="219"/>
      <c r="H135" s="165"/>
      <c r="I135" s="21"/>
      <c r="J135" s="21"/>
      <c r="K135" s="182"/>
      <c r="L135" s="21"/>
      <c r="M135" s="21"/>
      <c r="N135" s="21"/>
      <c r="O135" s="21"/>
      <c r="P135" s="21"/>
      <c r="Q135" s="21"/>
      <c r="R135" s="21"/>
    </row>
    <row r="136" spans="1:18" s="1" customFormat="1">
      <c r="A136" s="282"/>
      <c r="B136" s="21"/>
      <c r="C136" s="21"/>
      <c r="D136" s="141"/>
      <c r="E136" s="108"/>
      <c r="F136" s="22"/>
      <c r="G136" s="219"/>
      <c r="H136" s="165"/>
      <c r="I136" s="21"/>
      <c r="J136" s="21"/>
      <c r="K136" s="182"/>
      <c r="L136" s="21"/>
      <c r="M136" s="21"/>
      <c r="N136" s="21"/>
      <c r="O136" s="21"/>
      <c r="P136" s="21"/>
      <c r="Q136" s="21"/>
      <c r="R136" s="21"/>
    </row>
    <row r="137" spans="1:18" s="1" customFormat="1">
      <c r="A137" s="282"/>
      <c r="B137" s="21"/>
      <c r="C137" s="21"/>
      <c r="D137" s="141"/>
      <c r="E137" s="108"/>
      <c r="F137" s="22"/>
      <c r="G137" s="219"/>
      <c r="H137" s="165"/>
      <c r="I137" s="21"/>
      <c r="J137" s="21"/>
      <c r="K137" s="182"/>
      <c r="L137" s="21"/>
      <c r="M137" s="21"/>
      <c r="N137" s="21"/>
      <c r="O137" s="21"/>
      <c r="P137" s="21"/>
      <c r="Q137" s="21"/>
      <c r="R137" s="21"/>
    </row>
    <row r="138" spans="1:18" s="1" customFormat="1">
      <c r="A138" s="282"/>
      <c r="B138" s="21"/>
      <c r="C138" s="21"/>
      <c r="D138" s="141"/>
      <c r="E138" s="108"/>
      <c r="F138" s="22"/>
      <c r="G138" s="219"/>
      <c r="H138" s="165"/>
      <c r="I138" s="21"/>
      <c r="J138" s="21"/>
      <c r="K138" s="182"/>
      <c r="L138" s="21"/>
      <c r="M138" s="21"/>
      <c r="N138" s="21"/>
      <c r="O138" s="21"/>
      <c r="P138" s="21"/>
      <c r="Q138" s="21"/>
      <c r="R138" s="21"/>
    </row>
    <row r="139" spans="1:18" s="1" customFormat="1">
      <c r="A139" s="282"/>
      <c r="B139" s="21"/>
      <c r="C139" s="21"/>
      <c r="D139" s="141"/>
      <c r="E139" s="108"/>
      <c r="F139" s="22"/>
      <c r="G139" s="219"/>
      <c r="H139" s="165"/>
      <c r="I139" s="21"/>
      <c r="J139" s="21"/>
      <c r="K139" s="182"/>
      <c r="L139" s="21"/>
      <c r="M139" s="21"/>
      <c r="N139" s="21"/>
      <c r="O139" s="21"/>
      <c r="P139" s="21"/>
      <c r="Q139" s="21"/>
      <c r="R139" s="21"/>
    </row>
    <row r="140" spans="1:18" s="1" customFormat="1">
      <c r="A140" s="282"/>
      <c r="B140" s="21"/>
      <c r="C140" s="21"/>
      <c r="D140" s="141"/>
      <c r="E140" s="108"/>
      <c r="F140" s="22"/>
      <c r="G140" s="219"/>
      <c r="H140" s="165"/>
      <c r="I140" s="21"/>
      <c r="J140" s="21"/>
      <c r="K140" s="182"/>
      <c r="L140" s="21"/>
      <c r="M140" s="21"/>
      <c r="N140" s="21"/>
      <c r="O140" s="21"/>
      <c r="P140" s="21"/>
      <c r="Q140" s="21"/>
      <c r="R140" s="21"/>
    </row>
    <row r="141" spans="1:18" s="1" customFormat="1">
      <c r="A141" s="282"/>
      <c r="B141" s="21"/>
      <c r="C141" s="21"/>
      <c r="D141" s="141"/>
      <c r="E141" s="108"/>
      <c r="F141" s="22"/>
      <c r="G141" s="219"/>
      <c r="H141" s="165"/>
      <c r="I141" s="21"/>
      <c r="J141" s="21"/>
      <c r="K141" s="182"/>
      <c r="L141" s="21"/>
      <c r="M141" s="21"/>
      <c r="N141" s="21"/>
      <c r="O141" s="21"/>
      <c r="P141" s="21"/>
      <c r="Q141" s="21"/>
      <c r="R141" s="21"/>
    </row>
    <row r="142" spans="1:18" s="1" customFormat="1">
      <c r="A142" s="282"/>
      <c r="B142" s="21"/>
      <c r="C142" s="21"/>
      <c r="D142" s="141"/>
      <c r="E142" s="108"/>
      <c r="F142" s="22"/>
      <c r="G142" s="219"/>
      <c r="H142" s="165"/>
      <c r="I142" s="21"/>
      <c r="J142" s="21"/>
      <c r="K142" s="182"/>
      <c r="L142" s="21"/>
      <c r="M142" s="21"/>
      <c r="N142" s="21"/>
      <c r="O142" s="21"/>
      <c r="P142" s="21"/>
      <c r="Q142" s="21"/>
      <c r="R142" s="21"/>
    </row>
    <row r="143" spans="1:18" s="1" customFormat="1">
      <c r="A143" s="282"/>
      <c r="B143" s="21"/>
      <c r="C143" s="21"/>
      <c r="D143" s="141"/>
      <c r="E143" s="108"/>
      <c r="F143" s="22"/>
      <c r="G143" s="219"/>
      <c r="H143" s="165"/>
      <c r="I143" s="21"/>
      <c r="J143" s="21"/>
      <c r="K143" s="182"/>
      <c r="L143" s="21"/>
      <c r="M143" s="21"/>
      <c r="N143" s="21"/>
      <c r="O143" s="21"/>
      <c r="P143" s="21"/>
      <c r="Q143" s="21"/>
      <c r="R143" s="21"/>
    </row>
    <row r="144" spans="1:18" s="1" customFormat="1">
      <c r="A144" s="282"/>
      <c r="B144" s="21"/>
      <c r="C144" s="21"/>
      <c r="D144" s="141"/>
      <c r="E144" s="108"/>
      <c r="F144" s="22"/>
      <c r="G144" s="219"/>
      <c r="H144" s="165"/>
      <c r="I144" s="21"/>
      <c r="J144" s="21"/>
      <c r="K144" s="182"/>
      <c r="L144" s="21"/>
      <c r="M144" s="21"/>
      <c r="N144" s="21"/>
      <c r="O144" s="21"/>
      <c r="P144" s="21"/>
      <c r="Q144" s="21"/>
      <c r="R144" s="21"/>
    </row>
    <row r="145" spans="1:18" s="1" customFormat="1">
      <c r="A145" s="282"/>
      <c r="B145" s="21"/>
      <c r="C145" s="21"/>
      <c r="D145" s="141"/>
      <c r="E145" s="108"/>
      <c r="F145" s="22"/>
      <c r="G145" s="219"/>
      <c r="H145" s="165"/>
      <c r="I145" s="21"/>
      <c r="J145" s="21"/>
      <c r="K145" s="182"/>
      <c r="L145" s="21"/>
      <c r="M145" s="21"/>
      <c r="N145" s="21"/>
      <c r="O145" s="21"/>
      <c r="P145" s="21"/>
      <c r="Q145" s="21"/>
      <c r="R145" s="21"/>
    </row>
    <row r="146" spans="1:18" s="1" customFormat="1">
      <c r="A146" s="282"/>
      <c r="B146" s="21"/>
      <c r="C146" s="21"/>
      <c r="D146" s="141"/>
      <c r="E146" s="108"/>
      <c r="F146" s="22"/>
      <c r="G146" s="219"/>
      <c r="H146" s="165"/>
      <c r="I146" s="21"/>
      <c r="J146" s="21"/>
      <c r="K146" s="182"/>
      <c r="L146" s="21"/>
      <c r="M146" s="21"/>
      <c r="N146" s="21"/>
      <c r="O146" s="21"/>
      <c r="P146" s="21"/>
      <c r="Q146" s="21"/>
      <c r="R146" s="21"/>
    </row>
    <row r="147" spans="1:18" s="1" customFormat="1">
      <c r="A147" s="282"/>
      <c r="B147" s="21"/>
      <c r="C147" s="21"/>
      <c r="D147" s="141"/>
      <c r="E147" s="108"/>
      <c r="F147" s="22"/>
      <c r="G147" s="219"/>
      <c r="H147" s="165"/>
      <c r="I147" s="21"/>
      <c r="J147" s="21"/>
      <c r="K147" s="182"/>
      <c r="L147" s="21"/>
      <c r="M147" s="21"/>
      <c r="N147" s="21"/>
      <c r="O147" s="21"/>
      <c r="P147" s="21"/>
      <c r="Q147" s="21"/>
      <c r="R147" s="21"/>
    </row>
    <row r="148" spans="1:18" s="1" customFormat="1">
      <c r="A148" s="282"/>
      <c r="B148" s="21"/>
      <c r="C148" s="21"/>
      <c r="D148" s="141"/>
      <c r="E148" s="108"/>
      <c r="F148" s="22"/>
      <c r="G148" s="219"/>
      <c r="H148" s="165"/>
      <c r="I148" s="21"/>
      <c r="J148" s="21"/>
      <c r="K148" s="182"/>
      <c r="L148" s="21"/>
      <c r="M148" s="21"/>
      <c r="N148" s="21"/>
      <c r="O148" s="21"/>
      <c r="P148" s="21"/>
      <c r="Q148" s="21"/>
      <c r="R148" s="21"/>
    </row>
    <row r="149" spans="1:18" s="1" customFormat="1">
      <c r="A149" s="282"/>
      <c r="B149" s="21"/>
      <c r="C149" s="21"/>
      <c r="D149" s="141"/>
      <c r="E149" s="108"/>
      <c r="F149" s="22"/>
      <c r="G149" s="219"/>
      <c r="H149" s="165"/>
      <c r="I149" s="21"/>
      <c r="J149" s="21"/>
      <c r="K149" s="182"/>
      <c r="L149" s="21"/>
      <c r="M149" s="21"/>
      <c r="N149" s="21"/>
      <c r="O149" s="21"/>
      <c r="P149" s="21"/>
      <c r="Q149" s="21"/>
      <c r="R149" s="21"/>
    </row>
    <row r="150" spans="1:18" s="1" customFormat="1">
      <c r="A150" s="282"/>
      <c r="B150" s="21"/>
      <c r="C150" s="21"/>
      <c r="D150" s="141"/>
      <c r="E150" s="108"/>
      <c r="F150" s="22"/>
      <c r="G150" s="219"/>
      <c r="H150" s="165"/>
      <c r="I150" s="21"/>
      <c r="J150" s="21"/>
      <c r="K150" s="182"/>
      <c r="L150" s="21"/>
      <c r="M150" s="21"/>
      <c r="N150" s="21"/>
      <c r="O150" s="21"/>
      <c r="P150" s="21"/>
      <c r="Q150" s="21"/>
      <c r="R150" s="21"/>
    </row>
    <row r="151" spans="1:18" s="1" customFormat="1">
      <c r="A151" s="282"/>
      <c r="B151" s="21"/>
      <c r="C151" s="21"/>
      <c r="D151" s="141"/>
      <c r="E151" s="108"/>
      <c r="F151" s="22"/>
      <c r="G151" s="219"/>
      <c r="H151" s="165"/>
      <c r="I151" s="21"/>
      <c r="J151" s="21"/>
      <c r="K151" s="182"/>
      <c r="L151" s="21"/>
      <c r="M151" s="21"/>
      <c r="N151" s="21"/>
      <c r="O151" s="21"/>
      <c r="P151" s="21"/>
      <c r="Q151" s="21"/>
      <c r="R151" s="21"/>
    </row>
    <row r="152" spans="1:18" s="1" customFormat="1">
      <c r="A152" s="282"/>
      <c r="B152" s="21"/>
      <c r="C152" s="21"/>
      <c r="D152" s="141"/>
      <c r="E152" s="108"/>
      <c r="F152" s="22"/>
      <c r="G152" s="219"/>
      <c r="H152" s="165"/>
      <c r="I152" s="21"/>
      <c r="J152" s="21"/>
      <c r="K152" s="182"/>
      <c r="L152" s="21"/>
      <c r="M152" s="21"/>
      <c r="N152" s="21"/>
      <c r="O152" s="21"/>
      <c r="P152" s="21"/>
      <c r="Q152" s="21"/>
      <c r="R152" s="21"/>
    </row>
    <row r="153" spans="1:18" s="1" customFormat="1">
      <c r="A153" s="282"/>
      <c r="B153" s="21"/>
      <c r="C153" s="21"/>
      <c r="D153" s="141"/>
      <c r="E153" s="108"/>
      <c r="F153" s="22"/>
      <c r="G153" s="219"/>
      <c r="H153" s="165"/>
      <c r="I153" s="21"/>
      <c r="J153" s="21"/>
      <c r="K153" s="182"/>
      <c r="L153" s="21"/>
      <c r="M153" s="21"/>
      <c r="N153" s="21"/>
      <c r="O153" s="21"/>
      <c r="P153" s="21"/>
      <c r="Q153" s="21"/>
      <c r="R153" s="21"/>
    </row>
    <row r="154" spans="1:18" s="1" customFormat="1">
      <c r="A154" s="282"/>
      <c r="B154" s="21"/>
      <c r="C154" s="21"/>
      <c r="D154" s="141"/>
      <c r="E154" s="108"/>
      <c r="F154" s="22"/>
      <c r="G154" s="219"/>
      <c r="H154" s="165"/>
      <c r="I154" s="21"/>
      <c r="J154" s="21"/>
      <c r="K154" s="182"/>
      <c r="L154" s="21"/>
      <c r="M154" s="21"/>
      <c r="N154" s="21"/>
      <c r="O154" s="21"/>
      <c r="P154" s="21"/>
      <c r="Q154" s="21"/>
      <c r="R154" s="21"/>
    </row>
    <row r="155" spans="1:18" s="1" customFormat="1">
      <c r="A155" s="282"/>
      <c r="B155" s="21"/>
      <c r="C155" s="21"/>
      <c r="D155" s="141"/>
      <c r="E155" s="108"/>
      <c r="F155" s="22"/>
      <c r="G155" s="219"/>
      <c r="H155" s="165"/>
      <c r="I155" s="21"/>
      <c r="J155" s="21"/>
      <c r="K155" s="182"/>
      <c r="L155" s="21"/>
      <c r="M155" s="21"/>
      <c r="N155" s="21"/>
      <c r="O155" s="21"/>
      <c r="P155" s="21"/>
      <c r="Q155" s="21"/>
      <c r="R155" s="21"/>
    </row>
    <row r="156" spans="1:18" s="1" customFormat="1">
      <c r="A156" s="282"/>
      <c r="B156" s="21"/>
      <c r="C156" s="21"/>
      <c r="D156" s="141"/>
      <c r="E156" s="108"/>
      <c r="F156" s="22"/>
      <c r="G156" s="219"/>
      <c r="H156" s="165"/>
      <c r="I156" s="21"/>
      <c r="J156" s="21"/>
      <c r="K156" s="182"/>
      <c r="L156" s="21"/>
      <c r="M156" s="21"/>
      <c r="N156" s="21"/>
      <c r="O156" s="21"/>
      <c r="P156" s="21"/>
      <c r="Q156" s="21"/>
      <c r="R156" s="21"/>
    </row>
    <row r="157" spans="1:18" s="1" customFormat="1">
      <c r="A157" s="282"/>
      <c r="B157" s="21"/>
      <c r="C157" s="21"/>
      <c r="D157" s="141"/>
      <c r="E157" s="108"/>
      <c r="F157" s="22"/>
      <c r="G157" s="219"/>
      <c r="H157" s="165"/>
      <c r="I157" s="21"/>
      <c r="J157" s="21"/>
      <c r="K157" s="182"/>
      <c r="L157" s="21"/>
      <c r="M157" s="21"/>
      <c r="N157" s="21"/>
      <c r="O157" s="21"/>
      <c r="P157" s="21"/>
      <c r="Q157" s="21"/>
      <c r="R157" s="21"/>
    </row>
    <row r="158" spans="1:18" s="1" customFormat="1">
      <c r="A158" s="282"/>
      <c r="B158" s="21"/>
      <c r="C158" s="21"/>
      <c r="D158" s="141"/>
      <c r="E158" s="108"/>
      <c r="F158" s="22"/>
      <c r="G158" s="219"/>
      <c r="H158" s="165"/>
      <c r="I158" s="21"/>
      <c r="J158" s="21"/>
      <c r="K158" s="182"/>
      <c r="L158" s="21"/>
      <c r="M158" s="21"/>
      <c r="N158" s="21"/>
      <c r="O158" s="21"/>
      <c r="P158" s="21"/>
      <c r="Q158" s="21"/>
      <c r="R158" s="21"/>
    </row>
    <row r="159" spans="1:18" s="1" customFormat="1">
      <c r="A159" s="282"/>
      <c r="B159" s="21"/>
      <c r="C159" s="21"/>
      <c r="D159" s="141"/>
      <c r="E159" s="108"/>
      <c r="F159" s="22"/>
      <c r="G159" s="219"/>
      <c r="H159" s="165"/>
      <c r="I159" s="21"/>
      <c r="J159" s="21"/>
      <c r="K159" s="182"/>
      <c r="L159" s="21"/>
      <c r="M159" s="21"/>
      <c r="N159" s="21"/>
      <c r="O159" s="21"/>
      <c r="P159" s="21"/>
      <c r="Q159" s="21"/>
      <c r="R159" s="21"/>
    </row>
    <row r="160" spans="1:18" s="1" customFormat="1">
      <c r="A160" s="282"/>
      <c r="B160" s="21"/>
      <c r="C160" s="21"/>
      <c r="D160" s="141"/>
      <c r="E160" s="108"/>
      <c r="F160" s="22"/>
      <c r="G160" s="219"/>
      <c r="H160" s="165"/>
      <c r="I160" s="21"/>
      <c r="J160" s="21"/>
      <c r="K160" s="182"/>
      <c r="L160" s="21"/>
      <c r="M160" s="21"/>
      <c r="N160" s="21"/>
      <c r="O160" s="21"/>
      <c r="P160" s="21"/>
      <c r="Q160" s="21"/>
      <c r="R160" s="21"/>
    </row>
    <row r="161" spans="1:18" s="1" customFormat="1">
      <c r="A161" s="282"/>
      <c r="B161" s="21"/>
      <c r="C161" s="21"/>
      <c r="D161" s="141"/>
      <c r="E161" s="108"/>
      <c r="F161" s="22"/>
      <c r="G161" s="219"/>
      <c r="H161" s="165"/>
      <c r="I161" s="21"/>
      <c r="J161" s="21"/>
      <c r="K161" s="182"/>
      <c r="L161" s="21"/>
      <c r="M161" s="21"/>
      <c r="N161" s="21"/>
      <c r="O161" s="21"/>
      <c r="P161" s="21"/>
      <c r="Q161" s="21"/>
      <c r="R161" s="21"/>
    </row>
    <row r="162" spans="1:18" s="1" customFormat="1">
      <c r="A162" s="282"/>
      <c r="B162" s="21"/>
      <c r="C162" s="21"/>
      <c r="D162" s="141"/>
      <c r="E162" s="108"/>
      <c r="F162" s="22"/>
      <c r="G162" s="219"/>
      <c r="H162" s="165"/>
      <c r="I162" s="21"/>
      <c r="J162" s="21"/>
      <c r="K162" s="182"/>
      <c r="L162" s="21"/>
      <c r="M162" s="21"/>
      <c r="N162" s="21"/>
      <c r="O162" s="21"/>
      <c r="P162" s="21"/>
      <c r="Q162" s="21"/>
      <c r="R162" s="21"/>
    </row>
    <row r="163" spans="1:18" s="1" customFormat="1">
      <c r="A163" s="282"/>
      <c r="B163" s="21"/>
      <c r="C163" s="21"/>
      <c r="D163" s="141"/>
      <c r="E163" s="108"/>
      <c r="F163" s="22"/>
      <c r="G163" s="219"/>
      <c r="H163" s="165"/>
      <c r="I163" s="21"/>
      <c r="J163" s="21"/>
      <c r="K163" s="182"/>
      <c r="L163" s="21"/>
      <c r="M163" s="21"/>
      <c r="N163" s="21"/>
      <c r="O163" s="21"/>
      <c r="P163" s="21"/>
      <c r="Q163" s="21"/>
      <c r="R163" s="21"/>
    </row>
    <row r="164" spans="1:18" s="1" customFormat="1">
      <c r="A164" s="282"/>
      <c r="B164" s="21"/>
      <c r="C164" s="21"/>
      <c r="D164" s="141"/>
      <c r="E164" s="108"/>
      <c r="F164" s="22"/>
      <c r="G164" s="219"/>
      <c r="H164" s="165"/>
      <c r="I164" s="21"/>
      <c r="J164" s="21"/>
      <c r="K164" s="182"/>
      <c r="L164" s="21"/>
      <c r="M164" s="21"/>
      <c r="N164" s="21"/>
      <c r="O164" s="21"/>
      <c r="P164" s="21"/>
      <c r="Q164" s="21"/>
      <c r="R164" s="21"/>
    </row>
    <row r="165" spans="1:18" s="1" customFormat="1">
      <c r="A165" s="282"/>
      <c r="B165" s="21"/>
      <c r="C165" s="21"/>
      <c r="D165" s="141"/>
      <c r="E165" s="108"/>
      <c r="F165" s="22"/>
      <c r="G165" s="219"/>
      <c r="H165" s="165"/>
      <c r="I165" s="21"/>
      <c r="J165" s="21"/>
      <c r="K165" s="182"/>
      <c r="L165" s="21"/>
      <c r="M165" s="21"/>
      <c r="N165" s="21"/>
      <c r="O165" s="21"/>
      <c r="P165" s="21"/>
      <c r="Q165" s="21"/>
      <c r="R165" s="21"/>
    </row>
    <row r="166" spans="1:18" s="1" customFormat="1">
      <c r="A166" s="282"/>
      <c r="B166" s="21"/>
      <c r="C166" s="21"/>
      <c r="D166" s="141"/>
      <c r="E166" s="108"/>
      <c r="F166" s="22"/>
      <c r="G166" s="219"/>
      <c r="H166" s="165"/>
      <c r="I166" s="21"/>
      <c r="J166" s="21"/>
      <c r="K166" s="182"/>
      <c r="L166" s="21"/>
      <c r="M166" s="21"/>
      <c r="N166" s="21"/>
      <c r="O166" s="21"/>
      <c r="P166" s="21"/>
      <c r="Q166" s="21"/>
      <c r="R166" s="21"/>
    </row>
    <row r="167" spans="1:18" s="1" customFormat="1">
      <c r="A167" s="282"/>
      <c r="B167" s="21"/>
      <c r="C167" s="21"/>
      <c r="D167" s="141"/>
      <c r="E167" s="108"/>
      <c r="F167" s="22"/>
      <c r="G167" s="219"/>
      <c r="H167" s="165"/>
      <c r="I167" s="21"/>
      <c r="J167" s="21"/>
      <c r="K167" s="182"/>
      <c r="L167" s="21"/>
      <c r="M167" s="21"/>
      <c r="N167" s="21"/>
      <c r="O167" s="21"/>
      <c r="P167" s="21"/>
      <c r="Q167" s="21"/>
      <c r="R167" s="21"/>
    </row>
    <row r="168" spans="1:18" s="1" customFormat="1">
      <c r="A168" s="282"/>
      <c r="B168" s="21"/>
      <c r="C168" s="21"/>
      <c r="D168" s="141"/>
      <c r="E168" s="108"/>
      <c r="F168" s="22"/>
      <c r="G168" s="219"/>
      <c r="H168" s="165"/>
      <c r="I168" s="21"/>
      <c r="J168" s="21"/>
      <c r="K168" s="182"/>
      <c r="L168" s="21"/>
      <c r="M168" s="21"/>
      <c r="N168" s="21"/>
      <c r="O168" s="21"/>
      <c r="P168" s="21"/>
      <c r="Q168" s="21"/>
      <c r="R168" s="21"/>
    </row>
    <row r="169" spans="1:18" s="1" customFormat="1">
      <c r="A169" s="282"/>
      <c r="B169" s="21"/>
      <c r="C169" s="21"/>
      <c r="D169" s="141"/>
      <c r="E169" s="108"/>
      <c r="F169" s="22"/>
      <c r="G169" s="219"/>
      <c r="H169" s="165"/>
      <c r="I169" s="21"/>
      <c r="J169" s="21"/>
      <c r="K169" s="182"/>
      <c r="L169" s="21"/>
      <c r="M169" s="21"/>
      <c r="N169" s="21"/>
      <c r="O169" s="21"/>
      <c r="P169" s="21"/>
      <c r="Q169" s="21"/>
      <c r="R169" s="21"/>
    </row>
    <row r="170" spans="1:18" s="1" customFormat="1">
      <c r="A170" s="282"/>
      <c r="B170" s="21"/>
      <c r="C170" s="21"/>
      <c r="D170" s="141"/>
      <c r="E170" s="108"/>
      <c r="F170" s="22"/>
      <c r="G170" s="219"/>
      <c r="H170" s="165"/>
      <c r="I170" s="21"/>
      <c r="J170" s="21"/>
      <c r="K170" s="182"/>
      <c r="L170" s="21"/>
      <c r="M170" s="21"/>
      <c r="N170" s="21"/>
      <c r="O170" s="21"/>
      <c r="P170" s="21"/>
      <c r="Q170" s="21"/>
      <c r="R170" s="21"/>
    </row>
    <row r="171" spans="1:18" s="1" customFormat="1">
      <c r="A171" s="282"/>
      <c r="B171" s="21"/>
      <c r="C171" s="21"/>
      <c r="D171" s="141"/>
      <c r="E171" s="108"/>
      <c r="F171" s="22"/>
      <c r="G171" s="219"/>
      <c r="H171" s="165"/>
      <c r="I171" s="21"/>
      <c r="J171" s="21"/>
      <c r="K171" s="182"/>
      <c r="L171" s="21"/>
      <c r="M171" s="21"/>
      <c r="N171" s="21"/>
      <c r="O171" s="21"/>
      <c r="P171" s="21"/>
      <c r="Q171" s="21"/>
      <c r="R171" s="21"/>
    </row>
    <row r="172" spans="1:18" s="1" customFormat="1">
      <c r="A172" s="282"/>
      <c r="B172" s="21"/>
      <c r="C172" s="21"/>
      <c r="D172" s="141"/>
      <c r="E172" s="108"/>
      <c r="F172" s="22"/>
      <c r="G172" s="219"/>
      <c r="H172" s="165"/>
      <c r="I172" s="21"/>
      <c r="J172" s="21"/>
      <c r="K172" s="182"/>
      <c r="L172" s="21"/>
      <c r="M172" s="21"/>
      <c r="N172" s="21"/>
      <c r="O172" s="21"/>
      <c r="P172" s="21"/>
      <c r="Q172" s="21"/>
      <c r="R172" s="21"/>
    </row>
    <row r="173" spans="1:18" s="1" customFormat="1">
      <c r="A173" s="282"/>
      <c r="B173" s="21"/>
      <c r="C173" s="21"/>
      <c r="D173" s="141"/>
      <c r="E173" s="108"/>
      <c r="F173" s="22"/>
      <c r="G173" s="219"/>
      <c r="H173" s="165"/>
      <c r="I173" s="21"/>
      <c r="J173" s="21"/>
      <c r="K173" s="182"/>
      <c r="L173" s="21"/>
      <c r="M173" s="21"/>
      <c r="N173" s="21"/>
      <c r="O173" s="21"/>
      <c r="P173" s="21"/>
      <c r="Q173" s="21"/>
      <c r="R173" s="21"/>
    </row>
    <row r="174" spans="1:18" s="1" customFormat="1">
      <c r="A174" s="282"/>
      <c r="B174" s="21"/>
      <c r="C174" s="21"/>
      <c r="D174" s="141"/>
      <c r="E174" s="108"/>
      <c r="F174" s="22"/>
      <c r="G174" s="219"/>
      <c r="H174" s="165"/>
      <c r="I174" s="21"/>
      <c r="J174" s="21"/>
      <c r="K174" s="182"/>
      <c r="L174" s="21"/>
      <c r="M174" s="21"/>
      <c r="N174" s="21"/>
      <c r="O174" s="21"/>
      <c r="P174" s="21"/>
      <c r="Q174" s="21"/>
      <c r="R174" s="21"/>
    </row>
    <row r="175" spans="1:18" s="1" customFormat="1">
      <c r="A175" s="282"/>
      <c r="B175" s="21"/>
      <c r="C175" s="21"/>
      <c r="D175" s="141"/>
      <c r="E175" s="108"/>
      <c r="F175" s="22"/>
      <c r="G175" s="219"/>
      <c r="H175" s="165"/>
      <c r="I175" s="21"/>
      <c r="J175" s="21"/>
      <c r="K175" s="182"/>
      <c r="L175" s="21"/>
      <c r="M175" s="21"/>
      <c r="N175" s="21"/>
      <c r="O175" s="21"/>
      <c r="P175" s="21"/>
      <c r="Q175" s="21"/>
      <c r="R175" s="21"/>
    </row>
    <row r="176" spans="1:18" s="1" customFormat="1">
      <c r="A176" s="282"/>
      <c r="B176" s="21"/>
      <c r="C176" s="21"/>
      <c r="D176" s="141"/>
      <c r="E176" s="108"/>
      <c r="F176" s="22"/>
      <c r="G176" s="219"/>
      <c r="H176" s="165"/>
      <c r="I176" s="21"/>
      <c r="J176" s="21"/>
      <c r="K176" s="182"/>
      <c r="L176" s="21"/>
      <c r="M176" s="21"/>
      <c r="N176" s="21"/>
      <c r="O176" s="21"/>
      <c r="P176" s="21"/>
      <c r="Q176" s="21"/>
      <c r="R176" s="21"/>
    </row>
    <row r="177" spans="1:18" s="1" customFormat="1">
      <c r="A177" s="282"/>
      <c r="B177" s="21"/>
      <c r="C177" s="21"/>
      <c r="D177" s="141"/>
      <c r="E177" s="108"/>
      <c r="F177" s="22"/>
      <c r="G177" s="219"/>
      <c r="H177" s="165"/>
      <c r="I177" s="21"/>
      <c r="J177" s="21"/>
      <c r="K177" s="182"/>
      <c r="L177" s="21"/>
      <c r="M177" s="21"/>
      <c r="N177" s="21"/>
      <c r="O177" s="21"/>
      <c r="P177" s="21"/>
      <c r="Q177" s="21"/>
      <c r="R177" s="21"/>
    </row>
    <row r="178" spans="1:18" s="1" customFormat="1">
      <c r="A178" s="282"/>
      <c r="B178" s="21"/>
      <c r="C178" s="21"/>
      <c r="D178" s="141"/>
      <c r="E178" s="108"/>
      <c r="F178" s="22"/>
      <c r="G178" s="219"/>
      <c r="H178" s="165"/>
      <c r="I178" s="21"/>
      <c r="J178" s="21"/>
      <c r="K178" s="182"/>
      <c r="L178" s="21"/>
      <c r="M178" s="21"/>
      <c r="N178" s="21"/>
      <c r="O178" s="21"/>
      <c r="P178" s="21"/>
      <c r="Q178" s="21"/>
      <c r="R178" s="21"/>
    </row>
    <row r="179" spans="1:18" s="1" customFormat="1">
      <c r="A179" s="282"/>
      <c r="B179" s="21"/>
      <c r="C179" s="21"/>
      <c r="D179" s="141"/>
      <c r="E179" s="108"/>
      <c r="F179" s="22"/>
      <c r="G179" s="219"/>
      <c r="H179" s="165"/>
      <c r="I179" s="21"/>
      <c r="J179" s="21"/>
      <c r="K179" s="182"/>
      <c r="L179" s="21"/>
      <c r="M179" s="21"/>
      <c r="N179" s="21"/>
      <c r="O179" s="21"/>
      <c r="P179" s="21"/>
      <c r="Q179" s="21"/>
      <c r="R179" s="21"/>
    </row>
    <row r="180" spans="1:18" s="1" customFormat="1">
      <c r="A180" s="282"/>
      <c r="B180" s="21"/>
      <c r="C180" s="21"/>
      <c r="D180" s="141"/>
      <c r="E180" s="108"/>
      <c r="F180" s="22"/>
      <c r="G180" s="219"/>
      <c r="H180" s="165"/>
      <c r="I180" s="21"/>
      <c r="J180" s="21"/>
      <c r="K180" s="182"/>
      <c r="L180" s="21"/>
      <c r="M180" s="21"/>
      <c r="N180" s="21"/>
      <c r="O180" s="21"/>
      <c r="P180" s="21"/>
      <c r="Q180" s="21"/>
      <c r="R180" s="21"/>
    </row>
    <row r="181" spans="1:18" s="1" customFormat="1">
      <c r="A181" s="282"/>
      <c r="B181" s="21"/>
      <c r="C181" s="21"/>
      <c r="D181" s="141"/>
      <c r="E181" s="108"/>
      <c r="F181" s="22"/>
      <c r="G181" s="219"/>
      <c r="H181" s="165"/>
      <c r="I181" s="21"/>
      <c r="J181" s="21"/>
      <c r="K181" s="182"/>
      <c r="L181" s="21"/>
      <c r="M181" s="21"/>
      <c r="N181" s="21"/>
      <c r="O181" s="21"/>
      <c r="P181" s="21"/>
      <c r="Q181" s="21"/>
      <c r="R181" s="21"/>
    </row>
    <row r="182" spans="1:18" s="1" customFormat="1">
      <c r="A182" s="282"/>
      <c r="B182" s="21"/>
      <c r="C182" s="21"/>
      <c r="D182" s="141"/>
      <c r="E182" s="108"/>
      <c r="F182" s="22"/>
      <c r="G182" s="219"/>
      <c r="H182" s="165"/>
      <c r="I182" s="21"/>
      <c r="J182" s="21"/>
      <c r="K182" s="182"/>
      <c r="L182" s="21"/>
      <c r="M182" s="21"/>
      <c r="N182" s="21"/>
      <c r="O182" s="21"/>
      <c r="P182" s="21"/>
      <c r="Q182" s="21"/>
      <c r="R182" s="21"/>
    </row>
    <row r="183" spans="1:18" s="1" customFormat="1">
      <c r="A183" s="282"/>
      <c r="B183" s="21"/>
      <c r="C183" s="21"/>
      <c r="D183" s="141"/>
      <c r="E183" s="108"/>
      <c r="F183" s="22"/>
      <c r="G183" s="219"/>
      <c r="H183" s="165"/>
      <c r="I183" s="21"/>
      <c r="J183" s="21"/>
      <c r="K183" s="182"/>
      <c r="L183" s="21"/>
      <c r="M183" s="21"/>
      <c r="N183" s="21"/>
      <c r="O183" s="21"/>
      <c r="P183" s="21"/>
      <c r="Q183" s="21"/>
      <c r="R183" s="21"/>
    </row>
    <row r="184" spans="1:18" s="1" customFormat="1">
      <c r="A184" s="282"/>
      <c r="B184" s="21"/>
      <c r="C184" s="21"/>
      <c r="D184" s="141"/>
      <c r="E184" s="108"/>
      <c r="F184" s="22"/>
      <c r="G184" s="219"/>
      <c r="H184" s="165"/>
      <c r="I184" s="21"/>
      <c r="J184" s="21"/>
      <c r="K184" s="182"/>
      <c r="L184" s="21"/>
      <c r="M184" s="21"/>
      <c r="N184" s="21"/>
      <c r="O184" s="21"/>
      <c r="P184" s="21"/>
      <c r="Q184" s="21"/>
      <c r="R184" s="21"/>
    </row>
    <row r="185" spans="1:18" s="1" customFormat="1">
      <c r="A185" s="282"/>
      <c r="B185" s="21"/>
      <c r="C185" s="21"/>
      <c r="D185" s="141"/>
      <c r="E185" s="108"/>
      <c r="F185" s="22"/>
      <c r="G185" s="219"/>
      <c r="H185" s="165"/>
      <c r="I185" s="21"/>
      <c r="J185" s="21"/>
      <c r="K185" s="182"/>
      <c r="L185" s="21"/>
      <c r="M185" s="21"/>
      <c r="N185" s="21"/>
      <c r="O185" s="21"/>
      <c r="P185" s="21"/>
      <c r="Q185" s="21"/>
      <c r="R185" s="21"/>
    </row>
    <row r="186" spans="1:18" s="1" customFormat="1">
      <c r="A186" s="282"/>
      <c r="B186" s="21"/>
      <c r="C186" s="21"/>
      <c r="D186" s="141"/>
      <c r="E186" s="108"/>
      <c r="F186" s="22"/>
      <c r="G186" s="219"/>
      <c r="H186" s="165"/>
      <c r="I186" s="21"/>
      <c r="J186" s="21"/>
      <c r="K186" s="182"/>
      <c r="L186" s="21"/>
      <c r="M186" s="21"/>
      <c r="N186" s="21"/>
      <c r="O186" s="21"/>
      <c r="P186" s="21"/>
      <c r="Q186" s="21"/>
      <c r="R186" s="21"/>
    </row>
    <row r="187" spans="1:18" s="1" customFormat="1">
      <c r="A187" s="282"/>
      <c r="B187" s="21"/>
      <c r="C187" s="21"/>
      <c r="D187" s="141"/>
      <c r="E187" s="108"/>
      <c r="F187" s="22"/>
      <c r="G187" s="219"/>
      <c r="H187" s="165"/>
      <c r="I187" s="21"/>
      <c r="J187" s="21"/>
      <c r="K187" s="182"/>
      <c r="L187" s="21"/>
      <c r="M187" s="21"/>
      <c r="N187" s="21"/>
      <c r="O187" s="21"/>
      <c r="P187" s="21"/>
      <c r="Q187" s="21"/>
      <c r="R187" s="21"/>
    </row>
    <row r="188" spans="1:18" s="1" customFormat="1">
      <c r="A188" s="282"/>
      <c r="B188" s="21"/>
      <c r="C188" s="21"/>
      <c r="D188" s="141"/>
      <c r="E188" s="108"/>
      <c r="F188" s="22"/>
      <c r="G188" s="219"/>
      <c r="H188" s="165"/>
      <c r="I188" s="21"/>
      <c r="J188" s="21"/>
      <c r="K188" s="182"/>
      <c r="L188" s="21"/>
      <c r="M188" s="21"/>
      <c r="N188" s="21"/>
      <c r="O188" s="21"/>
      <c r="P188" s="21"/>
      <c r="Q188" s="21"/>
      <c r="R188" s="21"/>
    </row>
    <row r="189" spans="1:18" s="1" customFormat="1">
      <c r="A189" s="282"/>
      <c r="B189" s="21"/>
      <c r="C189" s="21"/>
      <c r="D189" s="141"/>
      <c r="E189" s="108"/>
      <c r="F189" s="22"/>
      <c r="G189" s="219"/>
      <c r="H189" s="165"/>
      <c r="I189" s="21"/>
      <c r="J189" s="21"/>
      <c r="K189" s="182"/>
      <c r="L189" s="21"/>
      <c r="M189" s="21"/>
      <c r="N189" s="21"/>
      <c r="O189" s="21"/>
      <c r="P189" s="21"/>
      <c r="Q189" s="21"/>
      <c r="R189" s="21"/>
    </row>
    <row r="190" spans="1:18" s="1" customFormat="1">
      <c r="A190" s="282"/>
      <c r="B190" s="21"/>
      <c r="C190" s="21"/>
      <c r="D190" s="141"/>
      <c r="E190" s="108"/>
      <c r="F190" s="22"/>
      <c r="G190" s="219"/>
      <c r="H190" s="165"/>
      <c r="I190" s="21"/>
      <c r="J190" s="21"/>
      <c r="K190" s="182"/>
      <c r="L190" s="21"/>
      <c r="M190" s="21"/>
      <c r="N190" s="21"/>
      <c r="O190" s="21"/>
      <c r="P190" s="21"/>
      <c r="Q190" s="21"/>
      <c r="R190" s="21"/>
    </row>
    <row r="191" spans="1:18" s="1" customFormat="1">
      <c r="A191" s="282"/>
      <c r="B191" s="21"/>
      <c r="C191" s="21"/>
      <c r="D191" s="141"/>
      <c r="E191" s="108"/>
      <c r="F191" s="22"/>
      <c r="G191" s="219"/>
      <c r="H191" s="165"/>
      <c r="I191" s="21"/>
      <c r="J191" s="21"/>
      <c r="K191" s="182"/>
      <c r="L191" s="21"/>
      <c r="M191" s="21"/>
      <c r="N191" s="21"/>
      <c r="O191" s="21"/>
      <c r="P191" s="21"/>
      <c r="Q191" s="21"/>
      <c r="R191" s="21"/>
    </row>
    <row r="192" spans="1:18" s="1" customFormat="1">
      <c r="A192" s="282"/>
      <c r="B192" s="21"/>
      <c r="C192" s="21"/>
      <c r="D192" s="141"/>
      <c r="E192" s="108"/>
      <c r="F192" s="22"/>
      <c r="G192" s="219"/>
      <c r="H192" s="165"/>
      <c r="I192" s="21"/>
      <c r="J192" s="21"/>
      <c r="K192" s="182"/>
      <c r="L192" s="21"/>
      <c r="M192" s="21"/>
      <c r="N192" s="21"/>
      <c r="O192" s="21"/>
      <c r="P192" s="21"/>
      <c r="Q192" s="21"/>
      <c r="R192" s="21"/>
    </row>
    <row r="193" spans="1:18" s="1" customFormat="1">
      <c r="A193" s="282"/>
      <c r="B193" s="21"/>
      <c r="C193" s="21"/>
      <c r="D193" s="141"/>
      <c r="E193" s="108"/>
      <c r="F193" s="22"/>
      <c r="G193" s="219"/>
      <c r="H193" s="165"/>
      <c r="I193" s="21"/>
      <c r="J193" s="21"/>
      <c r="K193" s="182"/>
      <c r="L193" s="21"/>
      <c r="M193" s="21"/>
      <c r="N193" s="21"/>
      <c r="O193" s="21"/>
      <c r="P193" s="21"/>
      <c r="Q193" s="21"/>
      <c r="R193" s="21"/>
    </row>
    <row r="194" spans="1:18" s="1" customFormat="1">
      <c r="A194" s="282"/>
      <c r="B194" s="21"/>
      <c r="C194" s="21"/>
      <c r="D194" s="141"/>
      <c r="E194" s="108"/>
      <c r="F194" s="22"/>
      <c r="G194" s="219"/>
      <c r="H194" s="165"/>
      <c r="I194" s="21"/>
      <c r="J194" s="21"/>
      <c r="K194" s="182"/>
      <c r="L194" s="21"/>
      <c r="M194" s="21"/>
      <c r="N194" s="21"/>
      <c r="O194" s="21"/>
      <c r="P194" s="21"/>
      <c r="Q194" s="21"/>
      <c r="R194" s="21"/>
    </row>
    <row r="195" spans="1:18" s="1" customFormat="1">
      <c r="A195" s="282"/>
      <c r="B195" s="21"/>
      <c r="C195" s="21"/>
      <c r="D195" s="141"/>
      <c r="E195" s="108"/>
      <c r="F195" s="22"/>
      <c r="G195" s="219"/>
      <c r="H195" s="165"/>
      <c r="I195" s="21"/>
      <c r="J195" s="21"/>
      <c r="K195" s="182"/>
      <c r="L195" s="21"/>
      <c r="M195" s="21"/>
      <c r="N195" s="21"/>
      <c r="O195" s="21"/>
      <c r="P195" s="21"/>
      <c r="Q195" s="21"/>
      <c r="R195" s="21"/>
    </row>
    <row r="196" spans="1:18" s="1" customFormat="1">
      <c r="A196" s="282"/>
      <c r="B196" s="21"/>
      <c r="C196" s="21"/>
      <c r="D196" s="141"/>
      <c r="E196" s="108"/>
      <c r="F196" s="22"/>
      <c r="G196" s="219"/>
      <c r="H196" s="165"/>
      <c r="I196" s="21"/>
      <c r="J196" s="21"/>
      <c r="K196" s="182"/>
      <c r="L196" s="21"/>
      <c r="M196" s="21"/>
      <c r="N196" s="21"/>
      <c r="O196" s="21"/>
      <c r="P196" s="21"/>
      <c r="Q196" s="21"/>
      <c r="R196" s="21"/>
    </row>
    <row r="197" spans="1:18" s="1" customFormat="1">
      <c r="A197" s="282"/>
      <c r="B197" s="21"/>
      <c r="C197" s="21"/>
      <c r="D197" s="141"/>
      <c r="E197" s="108"/>
      <c r="F197" s="22"/>
      <c r="G197" s="219"/>
      <c r="H197" s="165"/>
      <c r="I197" s="21"/>
      <c r="J197" s="21"/>
      <c r="K197" s="182"/>
      <c r="L197" s="21"/>
      <c r="M197" s="21"/>
      <c r="N197" s="21"/>
      <c r="O197" s="21"/>
      <c r="P197" s="21"/>
      <c r="Q197" s="21"/>
      <c r="R197" s="21"/>
    </row>
    <row r="198" spans="1:18" s="1" customFormat="1">
      <c r="A198" s="282"/>
      <c r="B198" s="21"/>
      <c r="C198" s="21"/>
      <c r="D198" s="141"/>
      <c r="E198" s="108"/>
      <c r="F198" s="22"/>
      <c r="G198" s="219"/>
      <c r="H198" s="165"/>
      <c r="I198" s="21"/>
      <c r="J198" s="21"/>
      <c r="K198" s="182"/>
      <c r="L198" s="21"/>
      <c r="M198" s="21"/>
      <c r="N198" s="21"/>
      <c r="O198" s="21"/>
      <c r="P198" s="21"/>
      <c r="Q198" s="21"/>
      <c r="R198" s="21"/>
    </row>
    <row r="199" spans="1:18" s="1" customFormat="1">
      <c r="A199" s="282"/>
      <c r="B199" s="21"/>
      <c r="C199" s="21"/>
      <c r="D199" s="141"/>
      <c r="E199" s="108"/>
      <c r="F199" s="22"/>
      <c r="G199" s="219"/>
      <c r="H199" s="165"/>
      <c r="I199" s="21"/>
      <c r="J199" s="21"/>
      <c r="K199" s="182"/>
      <c r="L199" s="21"/>
      <c r="M199" s="21"/>
      <c r="N199" s="21"/>
      <c r="O199" s="21"/>
      <c r="P199" s="21"/>
      <c r="Q199" s="21"/>
      <c r="R199" s="21"/>
    </row>
    <row r="200" spans="1:18" s="1" customFormat="1">
      <c r="A200" s="282"/>
      <c r="B200" s="21"/>
      <c r="C200" s="21"/>
      <c r="D200" s="141"/>
      <c r="E200" s="108"/>
      <c r="F200" s="22"/>
      <c r="G200" s="219"/>
      <c r="H200" s="165"/>
      <c r="I200" s="21"/>
      <c r="J200" s="21"/>
      <c r="K200" s="182"/>
      <c r="L200" s="21"/>
      <c r="M200" s="21"/>
      <c r="N200" s="21"/>
      <c r="O200" s="21"/>
      <c r="P200" s="21"/>
      <c r="Q200" s="21"/>
      <c r="R200" s="21"/>
    </row>
    <row r="201" spans="1:18" s="1" customFormat="1">
      <c r="A201" s="282"/>
      <c r="B201" s="21"/>
      <c r="C201" s="21"/>
      <c r="D201" s="141"/>
      <c r="E201" s="108"/>
      <c r="F201" s="22"/>
      <c r="G201" s="219"/>
      <c r="H201" s="165"/>
      <c r="I201" s="21"/>
      <c r="J201" s="21"/>
      <c r="K201" s="182"/>
      <c r="L201" s="21"/>
      <c r="M201" s="21"/>
      <c r="N201" s="21"/>
      <c r="O201" s="21"/>
      <c r="P201" s="21"/>
      <c r="Q201" s="21"/>
      <c r="R201" s="21"/>
    </row>
    <row r="202" spans="1:18" s="1" customFormat="1">
      <c r="A202" s="282"/>
      <c r="B202" s="21"/>
      <c r="C202" s="21"/>
      <c r="D202" s="141"/>
      <c r="E202" s="108"/>
      <c r="F202" s="22"/>
      <c r="G202" s="219"/>
      <c r="H202" s="165"/>
      <c r="I202" s="21"/>
      <c r="J202" s="21"/>
      <c r="K202" s="182"/>
      <c r="L202" s="21"/>
      <c r="M202" s="21"/>
      <c r="N202" s="21"/>
      <c r="O202" s="21"/>
      <c r="P202" s="21"/>
      <c r="Q202" s="21"/>
      <c r="R202" s="21"/>
    </row>
    <row r="203" spans="1:18" s="1" customFormat="1">
      <c r="A203" s="282"/>
      <c r="B203" s="21"/>
      <c r="C203" s="21"/>
      <c r="D203" s="141"/>
      <c r="E203" s="108"/>
      <c r="F203" s="22"/>
      <c r="G203" s="219"/>
      <c r="H203" s="165"/>
      <c r="I203" s="21"/>
      <c r="J203" s="21"/>
      <c r="K203" s="182"/>
      <c r="L203" s="21"/>
      <c r="M203" s="21"/>
      <c r="N203" s="21"/>
      <c r="O203" s="21"/>
      <c r="P203" s="21"/>
      <c r="Q203" s="21"/>
      <c r="R203" s="21"/>
    </row>
    <row r="204" spans="1:18" s="1" customFormat="1">
      <c r="A204" s="282"/>
      <c r="B204" s="21"/>
      <c r="C204" s="21"/>
      <c r="D204" s="141"/>
      <c r="E204" s="108"/>
      <c r="F204" s="22"/>
      <c r="G204" s="219"/>
      <c r="H204" s="165"/>
      <c r="I204" s="21"/>
      <c r="J204" s="21"/>
      <c r="K204" s="182"/>
      <c r="L204" s="21"/>
      <c r="M204" s="21"/>
      <c r="N204" s="21"/>
      <c r="O204" s="21"/>
      <c r="P204" s="21"/>
      <c r="Q204" s="21"/>
      <c r="R204" s="21"/>
    </row>
    <row r="205" spans="1:18" s="1" customFormat="1">
      <c r="A205" s="282"/>
      <c r="B205" s="21"/>
      <c r="C205" s="21"/>
      <c r="D205" s="141"/>
      <c r="E205" s="108"/>
      <c r="F205" s="22"/>
      <c r="G205" s="219"/>
      <c r="H205" s="165"/>
      <c r="I205" s="21"/>
      <c r="J205" s="21"/>
      <c r="K205" s="182"/>
      <c r="L205" s="21"/>
      <c r="M205" s="21"/>
      <c r="N205" s="21"/>
      <c r="O205" s="21"/>
      <c r="P205" s="21"/>
      <c r="Q205" s="21"/>
      <c r="R205" s="21"/>
    </row>
    <row r="206" spans="1:18" s="1" customFormat="1">
      <c r="A206" s="282"/>
      <c r="B206" s="21"/>
      <c r="C206" s="21"/>
      <c r="D206" s="141"/>
      <c r="E206" s="108"/>
      <c r="F206" s="22"/>
      <c r="G206" s="219"/>
      <c r="H206" s="165"/>
      <c r="I206" s="21"/>
      <c r="J206" s="21"/>
      <c r="K206" s="182"/>
      <c r="L206" s="21"/>
      <c r="M206" s="21"/>
      <c r="N206" s="21"/>
      <c r="O206" s="21"/>
      <c r="P206" s="21"/>
      <c r="Q206" s="21"/>
      <c r="R206" s="21"/>
    </row>
    <row r="207" spans="1:18" s="1" customFormat="1">
      <c r="A207" s="282"/>
      <c r="B207" s="21"/>
      <c r="C207" s="21"/>
      <c r="D207" s="141"/>
      <c r="E207" s="108"/>
      <c r="F207" s="22"/>
      <c r="G207" s="219"/>
      <c r="H207" s="165"/>
      <c r="I207" s="21"/>
      <c r="J207" s="21"/>
      <c r="K207" s="182"/>
      <c r="L207" s="21"/>
      <c r="M207" s="21"/>
      <c r="N207" s="21"/>
      <c r="O207" s="21"/>
      <c r="P207" s="21"/>
      <c r="Q207" s="21"/>
      <c r="R207" s="21"/>
    </row>
    <row r="208" spans="1:18" s="1" customFormat="1">
      <c r="A208" s="282"/>
      <c r="B208" s="21"/>
      <c r="C208" s="21"/>
      <c r="D208" s="141"/>
      <c r="E208" s="108"/>
      <c r="F208" s="22"/>
      <c r="G208" s="219"/>
      <c r="H208" s="165"/>
      <c r="I208" s="21"/>
      <c r="J208" s="21"/>
      <c r="K208" s="182"/>
      <c r="L208" s="21"/>
      <c r="M208" s="21"/>
      <c r="N208" s="21"/>
      <c r="O208" s="21"/>
      <c r="P208" s="21"/>
      <c r="Q208" s="21"/>
      <c r="R208" s="21"/>
    </row>
    <row r="209" spans="1:18" s="1" customFormat="1">
      <c r="A209" s="282"/>
      <c r="B209" s="21"/>
      <c r="C209" s="21"/>
      <c r="D209" s="141"/>
      <c r="E209" s="108"/>
      <c r="F209" s="22"/>
      <c r="G209" s="219"/>
      <c r="H209" s="165"/>
      <c r="I209" s="21"/>
      <c r="J209" s="21"/>
      <c r="K209" s="182"/>
      <c r="L209" s="21"/>
      <c r="M209" s="21"/>
      <c r="N209" s="21"/>
      <c r="O209" s="21"/>
      <c r="P209" s="21"/>
      <c r="Q209" s="21"/>
      <c r="R209" s="21"/>
    </row>
    <row r="210" spans="1:18" s="1" customFormat="1">
      <c r="A210" s="282"/>
      <c r="B210" s="21"/>
      <c r="C210" s="21"/>
      <c r="D210" s="141"/>
      <c r="E210" s="108"/>
      <c r="F210" s="22"/>
      <c r="G210" s="219"/>
      <c r="H210" s="165"/>
      <c r="I210" s="21"/>
      <c r="J210" s="21"/>
      <c r="K210" s="182"/>
      <c r="L210" s="21"/>
      <c r="M210" s="21"/>
      <c r="N210" s="21"/>
      <c r="O210" s="21"/>
      <c r="P210" s="21"/>
      <c r="Q210" s="21"/>
      <c r="R210" s="21"/>
    </row>
    <row r="211" spans="1:18" s="1" customFormat="1">
      <c r="A211" s="282"/>
      <c r="B211" s="21"/>
      <c r="C211" s="21"/>
      <c r="D211" s="141"/>
      <c r="E211" s="108"/>
      <c r="F211" s="22"/>
      <c r="G211" s="219"/>
      <c r="H211" s="165"/>
      <c r="I211" s="21"/>
      <c r="J211" s="21"/>
      <c r="K211" s="182"/>
      <c r="L211" s="21"/>
      <c r="M211" s="21"/>
      <c r="N211" s="21"/>
      <c r="O211" s="21"/>
      <c r="P211" s="21"/>
      <c r="Q211" s="21"/>
      <c r="R211" s="21"/>
    </row>
    <row r="212" spans="1:18" s="1" customFormat="1">
      <c r="A212" s="282"/>
      <c r="B212" s="21"/>
      <c r="C212" s="21"/>
      <c r="D212" s="141"/>
      <c r="E212" s="108"/>
      <c r="F212" s="22"/>
      <c r="G212" s="219"/>
      <c r="H212" s="165"/>
      <c r="I212" s="21"/>
      <c r="J212" s="21"/>
      <c r="K212" s="182"/>
      <c r="L212" s="21"/>
      <c r="M212" s="21"/>
      <c r="N212" s="21"/>
      <c r="O212" s="21"/>
      <c r="P212" s="21"/>
      <c r="Q212" s="21"/>
      <c r="R212" s="21"/>
    </row>
    <row r="213" spans="1:18" s="1" customFormat="1">
      <c r="A213" s="282"/>
      <c r="B213" s="21"/>
      <c r="C213" s="21"/>
      <c r="D213" s="141"/>
      <c r="E213" s="108"/>
      <c r="F213" s="22"/>
      <c r="G213" s="219"/>
      <c r="H213" s="165"/>
      <c r="I213" s="21"/>
      <c r="J213" s="21"/>
      <c r="K213" s="182"/>
      <c r="L213" s="21"/>
      <c r="M213" s="21"/>
      <c r="N213" s="21"/>
      <c r="O213" s="21"/>
      <c r="P213" s="21"/>
      <c r="Q213" s="21"/>
      <c r="R213" s="21"/>
    </row>
    <row r="214" spans="1:18" s="1" customFormat="1">
      <c r="A214" s="282"/>
      <c r="B214" s="21"/>
      <c r="C214" s="21"/>
      <c r="D214" s="141"/>
      <c r="E214" s="108"/>
      <c r="F214" s="22"/>
      <c r="G214" s="219"/>
      <c r="H214" s="165"/>
      <c r="I214" s="21"/>
      <c r="J214" s="21"/>
      <c r="K214" s="182"/>
      <c r="L214" s="21"/>
      <c r="M214" s="21"/>
      <c r="N214" s="21"/>
      <c r="O214" s="21"/>
      <c r="P214" s="21"/>
      <c r="Q214" s="21"/>
      <c r="R214" s="21"/>
    </row>
    <row r="215" spans="1:18" s="1" customFormat="1">
      <c r="A215" s="282"/>
      <c r="B215" s="21"/>
      <c r="C215" s="21"/>
      <c r="D215" s="141"/>
      <c r="E215" s="108"/>
      <c r="F215" s="22"/>
      <c r="G215" s="219"/>
      <c r="H215" s="165"/>
      <c r="I215" s="21"/>
      <c r="J215" s="21"/>
      <c r="K215" s="182"/>
      <c r="L215" s="21"/>
      <c r="M215" s="21"/>
      <c r="N215" s="21"/>
      <c r="O215" s="21"/>
      <c r="P215" s="21"/>
      <c r="Q215" s="21"/>
      <c r="R215" s="21"/>
    </row>
    <row r="216" spans="1:18" s="1" customFormat="1">
      <c r="A216" s="282"/>
      <c r="B216" s="21"/>
      <c r="C216" s="21"/>
      <c r="D216" s="141"/>
      <c r="E216" s="108"/>
      <c r="F216" s="22"/>
      <c r="G216" s="219"/>
      <c r="H216" s="165"/>
      <c r="I216" s="21"/>
      <c r="J216" s="21"/>
      <c r="K216" s="182"/>
      <c r="L216" s="21"/>
      <c r="M216" s="21"/>
      <c r="N216" s="21"/>
      <c r="O216" s="21"/>
      <c r="P216" s="21"/>
      <c r="Q216" s="21"/>
      <c r="R216" s="21"/>
    </row>
    <row r="217" spans="1:18" s="1" customFormat="1">
      <c r="A217" s="282"/>
      <c r="B217" s="21"/>
      <c r="C217" s="21"/>
      <c r="D217" s="141"/>
      <c r="E217" s="108"/>
      <c r="F217" s="22"/>
      <c r="G217" s="219"/>
      <c r="H217" s="165"/>
      <c r="I217" s="21"/>
      <c r="J217" s="21"/>
      <c r="K217" s="182"/>
      <c r="L217" s="21"/>
      <c r="M217" s="21"/>
      <c r="N217" s="21"/>
      <c r="O217" s="21"/>
      <c r="P217" s="21"/>
      <c r="Q217" s="21"/>
      <c r="R217" s="21"/>
    </row>
    <row r="218" spans="1:18" s="1" customFormat="1">
      <c r="A218" s="282"/>
      <c r="B218" s="21"/>
      <c r="C218" s="21"/>
      <c r="D218" s="141"/>
      <c r="E218" s="108"/>
      <c r="F218" s="22"/>
      <c r="G218" s="219"/>
      <c r="H218" s="165"/>
      <c r="I218" s="21"/>
      <c r="J218" s="21"/>
      <c r="K218" s="182"/>
      <c r="L218" s="21"/>
      <c r="M218" s="21"/>
      <c r="N218" s="21"/>
      <c r="O218" s="21"/>
      <c r="P218" s="21"/>
      <c r="Q218" s="21"/>
      <c r="R218" s="21"/>
    </row>
    <row r="219" spans="1:18" s="1" customFormat="1">
      <c r="A219" s="282"/>
      <c r="B219" s="21"/>
      <c r="C219" s="21"/>
      <c r="D219" s="141"/>
      <c r="E219" s="108"/>
      <c r="F219" s="22"/>
      <c r="G219" s="219"/>
      <c r="H219" s="165"/>
      <c r="I219" s="21"/>
      <c r="J219" s="21"/>
      <c r="K219" s="182"/>
      <c r="L219" s="21"/>
      <c r="M219" s="21"/>
      <c r="N219" s="21"/>
      <c r="O219" s="21"/>
      <c r="P219" s="21"/>
      <c r="Q219" s="21"/>
      <c r="R219" s="21"/>
    </row>
    <row r="220" spans="1:18" s="1" customFormat="1">
      <c r="A220" s="282"/>
      <c r="B220" s="21"/>
      <c r="C220" s="21"/>
      <c r="D220" s="141"/>
      <c r="E220" s="108"/>
      <c r="F220" s="22"/>
      <c r="G220" s="219"/>
      <c r="H220" s="165"/>
      <c r="I220" s="21"/>
      <c r="J220" s="21"/>
      <c r="K220" s="182"/>
      <c r="L220" s="21"/>
      <c r="M220" s="21"/>
      <c r="N220" s="21"/>
      <c r="O220" s="21"/>
      <c r="P220" s="21"/>
      <c r="Q220" s="21"/>
      <c r="R220" s="21"/>
    </row>
    <row r="221" spans="1:18" s="1" customFormat="1">
      <c r="A221" s="282"/>
      <c r="B221" s="21"/>
      <c r="C221" s="21"/>
      <c r="D221" s="141"/>
      <c r="E221" s="108"/>
      <c r="F221" s="22"/>
      <c r="G221" s="219"/>
      <c r="H221" s="165"/>
      <c r="I221" s="21"/>
      <c r="J221" s="21"/>
      <c r="K221" s="182"/>
      <c r="L221" s="21"/>
      <c r="M221" s="21"/>
      <c r="N221" s="21"/>
      <c r="O221" s="21"/>
      <c r="P221" s="21"/>
      <c r="Q221" s="21"/>
      <c r="R221" s="21"/>
    </row>
    <row r="222" spans="1:18" s="1" customFormat="1">
      <c r="A222" s="282"/>
      <c r="B222" s="21"/>
      <c r="C222" s="21"/>
      <c r="D222" s="141"/>
      <c r="E222" s="108"/>
      <c r="F222" s="22"/>
      <c r="G222" s="219"/>
      <c r="H222" s="165"/>
      <c r="I222" s="21"/>
      <c r="J222" s="21"/>
      <c r="K222" s="182"/>
      <c r="L222" s="21"/>
      <c r="M222" s="21"/>
      <c r="N222" s="21"/>
      <c r="O222" s="21"/>
      <c r="P222" s="21"/>
      <c r="Q222" s="21"/>
      <c r="R222" s="21"/>
    </row>
    <row r="223" spans="1:18" s="1" customFormat="1">
      <c r="A223" s="282"/>
      <c r="B223" s="21"/>
      <c r="C223" s="21"/>
      <c r="D223" s="141"/>
      <c r="E223" s="108"/>
      <c r="F223" s="22"/>
      <c r="G223" s="219"/>
      <c r="H223" s="165"/>
      <c r="I223" s="21"/>
      <c r="J223" s="21"/>
      <c r="K223" s="182"/>
      <c r="L223" s="21"/>
      <c r="M223" s="21"/>
      <c r="N223" s="21"/>
      <c r="O223" s="21"/>
      <c r="P223" s="21"/>
      <c r="Q223" s="21"/>
      <c r="R223" s="21"/>
    </row>
    <row r="224" spans="1:18" s="1" customFormat="1">
      <c r="A224" s="282"/>
      <c r="B224" s="21"/>
      <c r="C224" s="21"/>
      <c r="D224" s="141"/>
      <c r="E224" s="108"/>
      <c r="F224" s="22"/>
      <c r="G224" s="219"/>
      <c r="H224" s="165"/>
      <c r="I224" s="21"/>
      <c r="J224" s="21"/>
      <c r="K224" s="182"/>
      <c r="L224" s="21"/>
      <c r="M224" s="21"/>
      <c r="N224" s="21"/>
      <c r="O224" s="21"/>
      <c r="P224" s="21"/>
      <c r="Q224" s="21"/>
      <c r="R224" s="21"/>
    </row>
    <row r="225" spans="1:18" s="1" customFormat="1">
      <c r="A225" s="282"/>
      <c r="B225" s="21"/>
      <c r="C225" s="21"/>
      <c r="D225" s="141"/>
      <c r="E225" s="108"/>
      <c r="F225" s="22"/>
      <c r="G225" s="219"/>
      <c r="H225" s="165"/>
      <c r="I225" s="21"/>
      <c r="J225" s="21"/>
      <c r="K225" s="182"/>
      <c r="L225" s="21"/>
      <c r="M225" s="21"/>
      <c r="N225" s="21"/>
      <c r="O225" s="21"/>
      <c r="P225" s="21"/>
      <c r="Q225" s="21"/>
      <c r="R225" s="21"/>
    </row>
    <row r="226" spans="1:18" s="1" customFormat="1">
      <c r="A226" s="282"/>
      <c r="B226" s="21"/>
      <c r="C226" s="21"/>
      <c r="D226" s="141"/>
      <c r="E226" s="108"/>
      <c r="F226" s="22"/>
      <c r="G226" s="219"/>
      <c r="H226" s="165"/>
      <c r="I226" s="21"/>
      <c r="J226" s="21"/>
      <c r="K226" s="182"/>
      <c r="L226" s="21"/>
      <c r="M226" s="21"/>
      <c r="N226" s="21"/>
      <c r="O226" s="21"/>
      <c r="P226" s="21"/>
      <c r="Q226" s="21"/>
      <c r="R226" s="21"/>
    </row>
    <row r="227" spans="1:18" s="1" customFormat="1">
      <c r="A227" s="282"/>
      <c r="B227" s="21"/>
      <c r="C227" s="21"/>
      <c r="D227" s="141"/>
      <c r="E227" s="108"/>
      <c r="F227" s="22"/>
      <c r="G227" s="219"/>
      <c r="H227" s="165"/>
      <c r="I227" s="21"/>
      <c r="J227" s="21"/>
      <c r="K227" s="182"/>
      <c r="L227" s="21"/>
      <c r="M227" s="21"/>
      <c r="N227" s="21"/>
      <c r="O227" s="21"/>
      <c r="P227" s="21"/>
      <c r="Q227" s="21"/>
      <c r="R227" s="21"/>
    </row>
    <row r="228" spans="1:18" s="1" customFormat="1">
      <c r="A228" s="282"/>
      <c r="B228" s="21"/>
      <c r="C228" s="21"/>
      <c r="D228" s="141"/>
      <c r="E228" s="108"/>
      <c r="F228" s="22"/>
      <c r="G228" s="219"/>
      <c r="H228" s="165"/>
      <c r="I228" s="21"/>
      <c r="J228" s="21"/>
      <c r="K228" s="182"/>
      <c r="L228" s="21"/>
      <c r="M228" s="21"/>
      <c r="N228" s="21"/>
      <c r="O228" s="21"/>
      <c r="P228" s="21"/>
      <c r="Q228" s="21"/>
      <c r="R228" s="21"/>
    </row>
    <row r="229" spans="1:18" s="1" customFormat="1">
      <c r="A229" s="282"/>
      <c r="B229" s="21"/>
      <c r="C229" s="21"/>
      <c r="D229" s="141"/>
      <c r="E229" s="108"/>
      <c r="F229" s="22"/>
      <c r="G229" s="219"/>
      <c r="H229" s="165"/>
      <c r="I229" s="21"/>
      <c r="J229" s="21"/>
      <c r="K229" s="182"/>
      <c r="L229" s="21"/>
      <c r="M229" s="21"/>
      <c r="N229" s="21"/>
      <c r="O229" s="21"/>
      <c r="P229" s="21"/>
      <c r="Q229" s="21"/>
      <c r="R229" s="21"/>
    </row>
    <row r="230" spans="1:18" s="1" customFormat="1">
      <c r="A230" s="282"/>
      <c r="B230" s="21"/>
      <c r="C230" s="21"/>
      <c r="D230" s="141"/>
      <c r="E230" s="108"/>
      <c r="F230" s="22"/>
      <c r="G230" s="219"/>
      <c r="H230" s="165"/>
      <c r="I230" s="21"/>
      <c r="J230" s="21"/>
      <c r="K230" s="182"/>
      <c r="L230" s="21"/>
      <c r="M230" s="21"/>
      <c r="N230" s="21"/>
      <c r="O230" s="21"/>
      <c r="P230" s="21"/>
      <c r="Q230" s="21"/>
      <c r="R230" s="21"/>
    </row>
    <row r="231" spans="1:18" s="1" customFormat="1">
      <c r="A231" s="282"/>
      <c r="B231" s="21"/>
      <c r="C231" s="21"/>
      <c r="D231" s="141"/>
      <c r="E231" s="108"/>
      <c r="F231" s="22"/>
      <c r="G231" s="219"/>
      <c r="H231" s="165"/>
      <c r="I231" s="21"/>
      <c r="J231" s="21"/>
      <c r="K231" s="182"/>
      <c r="L231" s="21"/>
      <c r="M231" s="21"/>
      <c r="N231" s="21"/>
      <c r="O231" s="21"/>
      <c r="P231" s="21"/>
      <c r="Q231" s="21"/>
      <c r="R231" s="21"/>
    </row>
    <row r="232" spans="1:18" s="1" customFormat="1">
      <c r="A232" s="282"/>
      <c r="B232" s="21"/>
      <c r="C232" s="21"/>
      <c r="D232" s="141"/>
      <c r="E232" s="108"/>
      <c r="F232" s="22"/>
      <c r="G232" s="219"/>
      <c r="H232" s="165"/>
      <c r="I232" s="21"/>
      <c r="J232" s="21"/>
      <c r="K232" s="182"/>
      <c r="L232" s="21"/>
      <c r="M232" s="21"/>
      <c r="N232" s="21"/>
      <c r="O232" s="21"/>
      <c r="P232" s="21"/>
      <c r="Q232" s="21"/>
      <c r="R232" s="21"/>
    </row>
    <row r="233" spans="1:18" s="1" customFormat="1">
      <c r="A233" s="282"/>
      <c r="B233" s="21"/>
      <c r="C233" s="21"/>
      <c r="D233" s="141"/>
      <c r="E233" s="108"/>
      <c r="F233" s="22"/>
      <c r="G233" s="219"/>
      <c r="H233" s="165"/>
      <c r="I233" s="21"/>
      <c r="J233" s="21"/>
      <c r="K233" s="182"/>
      <c r="L233" s="21"/>
      <c r="M233" s="21"/>
      <c r="N233" s="21"/>
      <c r="O233" s="21"/>
      <c r="P233" s="21"/>
      <c r="Q233" s="21"/>
      <c r="R233" s="21"/>
    </row>
    <row r="234" spans="1:18" s="1" customFormat="1">
      <c r="A234" s="282"/>
      <c r="B234" s="21"/>
      <c r="C234" s="21"/>
      <c r="D234" s="141"/>
      <c r="E234" s="108"/>
      <c r="F234" s="22"/>
      <c r="G234" s="219"/>
      <c r="H234" s="165"/>
      <c r="I234" s="21"/>
      <c r="J234" s="21"/>
      <c r="K234" s="182"/>
      <c r="L234" s="21"/>
      <c r="M234" s="21"/>
      <c r="N234" s="21"/>
      <c r="O234" s="21"/>
      <c r="P234" s="21"/>
      <c r="Q234" s="21"/>
      <c r="R234" s="21"/>
    </row>
    <row r="235" spans="1:18" s="1" customFormat="1">
      <c r="A235" s="282"/>
      <c r="B235" s="21"/>
      <c r="C235" s="21"/>
      <c r="D235" s="141"/>
      <c r="E235" s="108"/>
      <c r="F235" s="22"/>
      <c r="G235" s="219"/>
      <c r="H235" s="165"/>
      <c r="I235" s="21"/>
      <c r="J235" s="21"/>
      <c r="K235" s="182"/>
      <c r="L235" s="21"/>
      <c r="M235" s="21"/>
      <c r="N235" s="21"/>
      <c r="O235" s="21"/>
      <c r="P235" s="21"/>
      <c r="Q235" s="21"/>
      <c r="R235" s="21"/>
    </row>
    <row r="236" spans="1:18" s="1" customFormat="1">
      <c r="A236" s="282"/>
      <c r="B236" s="21"/>
      <c r="C236" s="21"/>
      <c r="D236" s="141"/>
      <c r="E236" s="108"/>
      <c r="F236" s="22"/>
      <c r="G236" s="219"/>
      <c r="H236" s="165"/>
      <c r="I236" s="21"/>
      <c r="J236" s="21"/>
      <c r="K236" s="182"/>
      <c r="L236" s="21"/>
      <c r="M236" s="21"/>
      <c r="N236" s="21"/>
      <c r="O236" s="21"/>
      <c r="P236" s="21"/>
      <c r="Q236" s="21"/>
      <c r="R236" s="21"/>
    </row>
    <row r="237" spans="1:18" s="1" customFormat="1">
      <c r="A237" s="282"/>
      <c r="B237" s="21"/>
      <c r="C237" s="21"/>
      <c r="D237" s="141"/>
      <c r="E237" s="108"/>
      <c r="F237" s="22"/>
      <c r="G237" s="219"/>
      <c r="H237" s="165"/>
      <c r="I237" s="21"/>
      <c r="J237" s="21"/>
      <c r="K237" s="182"/>
      <c r="L237" s="21"/>
      <c r="M237" s="21"/>
      <c r="N237" s="21"/>
      <c r="O237" s="21"/>
      <c r="P237" s="21"/>
      <c r="Q237" s="21"/>
      <c r="R237" s="21"/>
    </row>
    <row r="238" spans="1:18" s="1" customFormat="1">
      <c r="A238" s="282"/>
      <c r="B238" s="21"/>
      <c r="C238" s="21"/>
      <c r="D238" s="141"/>
      <c r="E238" s="108"/>
      <c r="F238" s="22"/>
      <c r="G238" s="219"/>
      <c r="H238" s="165"/>
      <c r="I238" s="21"/>
      <c r="J238" s="21"/>
      <c r="K238" s="182"/>
      <c r="L238" s="21"/>
      <c r="M238" s="21"/>
      <c r="N238" s="21"/>
      <c r="O238" s="21"/>
      <c r="P238" s="21"/>
      <c r="Q238" s="21"/>
      <c r="R238" s="21"/>
    </row>
    <row r="239" spans="1:18" s="1" customFormat="1">
      <c r="A239" s="282"/>
      <c r="B239" s="21"/>
      <c r="C239" s="21"/>
      <c r="D239" s="141"/>
      <c r="E239" s="108"/>
      <c r="F239" s="22"/>
      <c r="G239" s="219"/>
      <c r="H239" s="165"/>
      <c r="I239" s="21"/>
      <c r="J239" s="21"/>
      <c r="K239" s="182"/>
      <c r="L239" s="21"/>
      <c r="M239" s="21"/>
      <c r="N239" s="21"/>
      <c r="O239" s="21"/>
      <c r="P239" s="21"/>
      <c r="Q239" s="21"/>
      <c r="R239" s="21"/>
    </row>
    <row r="240" spans="1:18" s="1" customFormat="1">
      <c r="A240" s="282"/>
      <c r="B240" s="21"/>
      <c r="C240" s="21"/>
      <c r="D240" s="141"/>
      <c r="E240" s="108"/>
      <c r="F240" s="22"/>
      <c r="G240" s="219"/>
      <c r="H240" s="165"/>
      <c r="I240" s="21"/>
      <c r="J240" s="21"/>
      <c r="K240" s="182"/>
      <c r="L240" s="21"/>
      <c r="M240" s="21"/>
      <c r="N240" s="21"/>
      <c r="O240" s="21"/>
      <c r="P240" s="21"/>
      <c r="Q240" s="21"/>
      <c r="R240" s="21"/>
    </row>
    <row r="241" spans="1:18" s="1" customFormat="1">
      <c r="A241" s="282"/>
      <c r="B241" s="21"/>
      <c r="C241" s="21"/>
      <c r="D241" s="141"/>
      <c r="E241" s="108"/>
      <c r="F241" s="22"/>
      <c r="G241" s="219"/>
      <c r="H241" s="165"/>
      <c r="I241" s="21"/>
      <c r="J241" s="21"/>
      <c r="K241" s="182"/>
      <c r="L241" s="21"/>
      <c r="M241" s="21"/>
      <c r="N241" s="21"/>
      <c r="O241" s="21"/>
      <c r="P241" s="21"/>
      <c r="Q241" s="21"/>
      <c r="R241" s="21"/>
    </row>
    <row r="242" spans="1:18" s="1" customFormat="1">
      <c r="A242" s="282"/>
      <c r="B242" s="21"/>
      <c r="C242" s="21"/>
      <c r="D242" s="141"/>
      <c r="E242" s="108"/>
      <c r="F242" s="22"/>
      <c r="G242" s="219"/>
      <c r="H242" s="165"/>
      <c r="I242" s="21"/>
      <c r="J242" s="21"/>
      <c r="K242" s="182"/>
      <c r="L242" s="21"/>
      <c r="M242" s="21"/>
      <c r="N242" s="21"/>
      <c r="O242" s="21"/>
      <c r="P242" s="21"/>
      <c r="Q242" s="21"/>
      <c r="R242" s="21"/>
    </row>
    <row r="243" spans="1:18" s="1" customFormat="1">
      <c r="A243" s="282"/>
      <c r="B243" s="21"/>
      <c r="C243" s="21"/>
      <c r="D243" s="141"/>
      <c r="E243" s="108"/>
      <c r="F243" s="22"/>
      <c r="G243" s="219"/>
      <c r="H243" s="165"/>
      <c r="I243" s="21"/>
      <c r="J243" s="21"/>
      <c r="K243" s="182"/>
      <c r="L243" s="21"/>
      <c r="M243" s="21"/>
      <c r="N243" s="21"/>
      <c r="O243" s="21"/>
      <c r="P243" s="21"/>
      <c r="Q243" s="21"/>
      <c r="R243" s="21"/>
    </row>
    <row r="244" spans="1:18" s="1" customFormat="1">
      <c r="A244" s="282"/>
      <c r="B244" s="21"/>
      <c r="C244" s="21"/>
      <c r="D244" s="141"/>
      <c r="E244" s="108"/>
      <c r="F244" s="22"/>
      <c r="G244" s="219"/>
      <c r="H244" s="165"/>
      <c r="I244" s="21"/>
      <c r="J244" s="21"/>
      <c r="K244" s="182"/>
      <c r="L244" s="21"/>
      <c r="M244" s="21"/>
      <c r="N244" s="21"/>
      <c r="O244" s="21"/>
      <c r="P244" s="21"/>
      <c r="Q244" s="21"/>
      <c r="R244" s="21"/>
    </row>
    <row r="245" spans="1:18" s="1" customFormat="1">
      <c r="A245" s="282"/>
      <c r="B245" s="21"/>
      <c r="C245" s="21"/>
      <c r="D245" s="141"/>
      <c r="E245" s="108"/>
      <c r="F245" s="22"/>
      <c r="G245" s="219"/>
      <c r="H245" s="165"/>
      <c r="I245" s="21"/>
      <c r="J245" s="21"/>
      <c r="K245" s="182"/>
      <c r="L245" s="21"/>
      <c r="M245" s="21"/>
      <c r="N245" s="21"/>
      <c r="O245" s="21"/>
      <c r="P245" s="21"/>
      <c r="Q245" s="21"/>
      <c r="R245" s="21"/>
    </row>
    <row r="246" spans="1:18" s="1" customFormat="1">
      <c r="A246" s="282"/>
      <c r="B246" s="21"/>
      <c r="C246" s="21"/>
      <c r="D246" s="141"/>
      <c r="E246" s="108"/>
      <c r="F246" s="22"/>
      <c r="G246" s="219"/>
      <c r="H246" s="165"/>
      <c r="I246" s="21"/>
      <c r="J246" s="21"/>
      <c r="K246" s="182"/>
      <c r="L246" s="21"/>
      <c r="M246" s="21"/>
      <c r="N246" s="21"/>
      <c r="O246" s="21"/>
      <c r="P246" s="21"/>
      <c r="Q246" s="21"/>
      <c r="R246" s="21"/>
    </row>
    <row r="247" spans="1:18" s="1" customFormat="1">
      <c r="A247" s="282"/>
      <c r="B247" s="21"/>
      <c r="C247" s="21"/>
      <c r="D247" s="141"/>
      <c r="E247" s="108"/>
      <c r="F247" s="22"/>
      <c r="G247" s="219"/>
      <c r="H247" s="165"/>
      <c r="I247" s="21"/>
      <c r="J247" s="21"/>
      <c r="K247" s="182"/>
      <c r="L247" s="21"/>
      <c r="M247" s="21"/>
      <c r="N247" s="21"/>
      <c r="O247" s="21"/>
      <c r="P247" s="21"/>
      <c r="Q247" s="21"/>
      <c r="R247" s="21"/>
    </row>
    <row r="248" spans="1:18" s="1" customFormat="1">
      <c r="A248" s="282"/>
      <c r="B248" s="21"/>
      <c r="C248" s="21"/>
      <c r="D248" s="141"/>
      <c r="E248" s="108"/>
      <c r="F248" s="22"/>
      <c r="G248" s="219"/>
      <c r="H248" s="165"/>
      <c r="I248" s="21"/>
      <c r="J248" s="21"/>
      <c r="K248" s="182"/>
      <c r="L248" s="21"/>
      <c r="M248" s="21"/>
      <c r="N248" s="21"/>
      <c r="O248" s="21"/>
      <c r="P248" s="21"/>
      <c r="Q248" s="21"/>
      <c r="R248" s="21"/>
    </row>
    <row r="249" spans="1:18" s="1" customFormat="1">
      <c r="A249" s="282"/>
      <c r="B249" s="21"/>
      <c r="C249" s="21"/>
      <c r="D249" s="141"/>
      <c r="E249" s="108"/>
      <c r="F249" s="22"/>
      <c r="G249" s="219"/>
      <c r="H249" s="165"/>
      <c r="I249" s="21"/>
      <c r="J249" s="21"/>
      <c r="K249" s="182"/>
      <c r="L249" s="21"/>
      <c r="M249" s="21"/>
      <c r="N249" s="21"/>
      <c r="O249" s="21"/>
      <c r="P249" s="21"/>
      <c r="Q249" s="21"/>
      <c r="R249" s="21"/>
    </row>
    <row r="250" spans="1:18" s="1" customFormat="1">
      <c r="A250" s="282"/>
      <c r="B250" s="21"/>
      <c r="C250" s="21"/>
      <c r="D250" s="141"/>
      <c r="E250" s="108"/>
      <c r="F250" s="22"/>
      <c r="G250" s="219"/>
      <c r="H250" s="165"/>
      <c r="I250" s="21"/>
      <c r="J250" s="21"/>
      <c r="K250" s="182"/>
      <c r="L250" s="21"/>
      <c r="M250" s="21"/>
      <c r="N250" s="21"/>
      <c r="O250" s="21"/>
      <c r="P250" s="21"/>
      <c r="Q250" s="21"/>
      <c r="R250" s="21"/>
    </row>
    <row r="251" spans="1:18" s="1" customFormat="1">
      <c r="A251" s="282"/>
      <c r="B251" s="21"/>
      <c r="C251" s="21"/>
      <c r="D251" s="141"/>
      <c r="E251" s="108"/>
      <c r="F251" s="22"/>
      <c r="G251" s="219"/>
      <c r="H251" s="165"/>
      <c r="I251" s="21"/>
      <c r="J251" s="21"/>
      <c r="K251" s="182"/>
      <c r="L251" s="21"/>
      <c r="M251" s="21"/>
      <c r="N251" s="21"/>
      <c r="O251" s="21"/>
      <c r="P251" s="21"/>
      <c r="Q251" s="21"/>
      <c r="R251" s="21"/>
    </row>
    <row r="252" spans="1:18" s="1" customFormat="1">
      <c r="A252" s="282"/>
      <c r="B252" s="21"/>
      <c r="C252" s="21"/>
      <c r="D252" s="141"/>
      <c r="E252" s="108"/>
      <c r="F252" s="22"/>
      <c r="G252" s="219"/>
      <c r="H252" s="165"/>
      <c r="I252" s="21"/>
      <c r="J252" s="21"/>
      <c r="K252" s="182"/>
      <c r="L252" s="21"/>
      <c r="M252" s="21"/>
      <c r="N252" s="21"/>
      <c r="O252" s="21"/>
      <c r="P252" s="21"/>
      <c r="Q252" s="21"/>
      <c r="R252" s="21"/>
    </row>
    <row r="253" spans="1:18" s="1" customFormat="1">
      <c r="A253" s="282"/>
      <c r="B253" s="21"/>
      <c r="C253" s="21"/>
      <c r="D253" s="141"/>
      <c r="E253" s="108"/>
      <c r="F253" s="22"/>
      <c r="G253" s="219"/>
      <c r="H253" s="165"/>
      <c r="I253" s="21"/>
      <c r="J253" s="21"/>
      <c r="K253" s="182"/>
      <c r="L253" s="21"/>
      <c r="M253" s="21"/>
      <c r="N253" s="21"/>
      <c r="O253" s="21"/>
      <c r="P253" s="21"/>
      <c r="Q253" s="21"/>
      <c r="R253" s="21"/>
    </row>
    <row r="254" spans="1:18" s="1" customFormat="1">
      <c r="A254" s="282"/>
      <c r="B254" s="21"/>
      <c r="C254" s="21"/>
      <c r="D254" s="141"/>
      <c r="E254" s="108"/>
      <c r="F254" s="22"/>
      <c r="G254" s="219"/>
      <c r="H254" s="165"/>
      <c r="I254" s="21"/>
      <c r="J254" s="21"/>
      <c r="K254" s="182"/>
      <c r="L254" s="21"/>
      <c r="M254" s="21"/>
      <c r="N254" s="21"/>
      <c r="O254" s="21"/>
      <c r="P254" s="21"/>
      <c r="Q254" s="21"/>
      <c r="R254" s="21"/>
    </row>
    <row r="255" spans="1:18" s="1" customFormat="1">
      <c r="A255" s="282"/>
      <c r="B255" s="21"/>
      <c r="C255" s="21"/>
      <c r="D255" s="141"/>
      <c r="E255" s="108"/>
      <c r="F255" s="22"/>
      <c r="G255" s="219"/>
      <c r="H255" s="165"/>
      <c r="I255" s="21"/>
      <c r="J255" s="21"/>
      <c r="K255" s="182"/>
      <c r="L255" s="21"/>
      <c r="M255" s="21"/>
      <c r="N255" s="21"/>
      <c r="O255" s="21"/>
      <c r="P255" s="21"/>
      <c r="Q255" s="21"/>
      <c r="R255" s="21"/>
    </row>
    <row r="256" spans="1:18" s="1" customFormat="1">
      <c r="A256" s="282"/>
      <c r="B256" s="21"/>
      <c r="C256" s="21"/>
      <c r="D256" s="141"/>
      <c r="E256" s="108"/>
      <c r="F256" s="22"/>
      <c r="G256" s="219"/>
      <c r="H256" s="165"/>
      <c r="I256" s="21"/>
      <c r="J256" s="21"/>
      <c r="K256" s="182"/>
      <c r="L256" s="21"/>
      <c r="M256" s="21"/>
      <c r="N256" s="21"/>
      <c r="O256" s="21"/>
      <c r="P256" s="21"/>
      <c r="Q256" s="21"/>
      <c r="R256" s="21"/>
    </row>
    <row r="257" spans="1:18" s="1" customFormat="1">
      <c r="A257" s="282"/>
      <c r="B257" s="21"/>
      <c r="C257" s="21"/>
      <c r="D257" s="141"/>
      <c r="E257" s="108"/>
      <c r="F257" s="22"/>
      <c r="G257" s="219"/>
      <c r="H257" s="165"/>
      <c r="I257" s="21"/>
      <c r="J257" s="21"/>
      <c r="K257" s="182"/>
      <c r="L257" s="21"/>
      <c r="M257" s="21"/>
      <c r="N257" s="21"/>
      <c r="O257" s="21"/>
      <c r="P257" s="21"/>
      <c r="Q257" s="21"/>
      <c r="R257" s="21"/>
    </row>
    <row r="258" spans="1:18" s="1" customFormat="1">
      <c r="A258" s="282"/>
      <c r="B258" s="21"/>
      <c r="C258" s="21"/>
      <c r="D258" s="141"/>
      <c r="E258" s="108"/>
      <c r="F258" s="22"/>
      <c r="G258" s="219"/>
      <c r="H258" s="165"/>
      <c r="I258" s="21"/>
      <c r="J258" s="21"/>
      <c r="K258" s="182"/>
      <c r="L258" s="21"/>
      <c r="M258" s="21"/>
      <c r="N258" s="21"/>
      <c r="O258" s="21"/>
      <c r="P258" s="21"/>
      <c r="Q258" s="21"/>
      <c r="R258" s="21"/>
    </row>
    <row r="259" spans="1:18" s="1" customFormat="1">
      <c r="A259" s="282"/>
      <c r="B259" s="21"/>
      <c r="C259" s="21"/>
      <c r="D259" s="141"/>
      <c r="E259" s="108"/>
      <c r="F259" s="22"/>
      <c r="G259" s="219"/>
      <c r="H259" s="165"/>
      <c r="I259" s="21"/>
      <c r="J259" s="21"/>
      <c r="K259" s="182"/>
      <c r="L259" s="21"/>
      <c r="M259" s="21"/>
      <c r="N259" s="21"/>
      <c r="O259" s="21"/>
      <c r="P259" s="21"/>
      <c r="Q259" s="21"/>
      <c r="R259" s="21"/>
    </row>
    <row r="260" spans="1:18" s="1" customFormat="1">
      <c r="A260" s="282"/>
      <c r="B260" s="21"/>
      <c r="C260" s="21"/>
      <c r="D260" s="141"/>
      <c r="E260" s="108"/>
      <c r="F260" s="22"/>
      <c r="G260" s="219"/>
      <c r="H260" s="165"/>
      <c r="I260" s="21"/>
      <c r="J260" s="21"/>
      <c r="K260" s="182"/>
      <c r="L260" s="21"/>
      <c r="M260" s="21"/>
      <c r="N260" s="21"/>
      <c r="O260" s="21"/>
      <c r="P260" s="21"/>
      <c r="Q260" s="21"/>
      <c r="R260" s="21"/>
    </row>
    <row r="261" spans="1:18" s="1" customFormat="1">
      <c r="A261" s="282"/>
      <c r="B261" s="21"/>
      <c r="C261" s="21"/>
      <c r="D261" s="141"/>
      <c r="E261" s="108"/>
      <c r="F261" s="22"/>
      <c r="G261" s="219"/>
      <c r="H261" s="165"/>
      <c r="I261" s="21"/>
      <c r="J261" s="21"/>
      <c r="K261" s="182"/>
      <c r="L261" s="21"/>
      <c r="M261" s="21"/>
      <c r="N261" s="21"/>
      <c r="O261" s="21"/>
      <c r="P261" s="21"/>
      <c r="Q261" s="21"/>
      <c r="R261" s="21"/>
    </row>
    <row r="262" spans="1:18" s="1" customFormat="1">
      <c r="A262" s="282"/>
      <c r="B262" s="21"/>
      <c r="C262" s="21"/>
      <c r="D262" s="141"/>
      <c r="E262" s="108"/>
      <c r="F262" s="22"/>
      <c r="G262" s="219"/>
      <c r="H262" s="165"/>
      <c r="I262" s="21"/>
      <c r="J262" s="21"/>
      <c r="K262" s="182"/>
      <c r="L262" s="21"/>
      <c r="M262" s="21"/>
      <c r="N262" s="21"/>
      <c r="O262" s="21"/>
      <c r="P262" s="21"/>
      <c r="Q262" s="21"/>
      <c r="R262" s="21"/>
    </row>
    <row r="263" spans="1:18" s="1" customFormat="1">
      <c r="A263" s="282"/>
      <c r="B263" s="21"/>
      <c r="C263" s="21"/>
      <c r="D263" s="141"/>
      <c r="E263" s="108"/>
      <c r="F263" s="22"/>
      <c r="G263" s="219"/>
      <c r="H263" s="165"/>
      <c r="I263" s="21"/>
      <c r="J263" s="21"/>
      <c r="K263" s="182"/>
      <c r="L263" s="21"/>
      <c r="M263" s="21"/>
      <c r="N263" s="21"/>
      <c r="O263" s="21"/>
      <c r="P263" s="21"/>
      <c r="Q263" s="21"/>
      <c r="R263" s="21"/>
    </row>
    <row r="264" spans="1:18" s="1" customFormat="1">
      <c r="A264" s="282"/>
      <c r="B264" s="21"/>
      <c r="C264" s="21"/>
      <c r="D264" s="141"/>
      <c r="E264" s="108"/>
      <c r="F264" s="22"/>
      <c r="G264" s="219"/>
      <c r="H264" s="165"/>
      <c r="I264" s="21"/>
      <c r="J264" s="21"/>
      <c r="K264" s="182"/>
      <c r="L264" s="21"/>
      <c r="M264" s="21"/>
      <c r="N264" s="21"/>
      <c r="O264" s="21"/>
      <c r="P264" s="21"/>
      <c r="Q264" s="21"/>
      <c r="R264" s="21"/>
    </row>
    <row r="265" spans="1:18" s="1" customFormat="1">
      <c r="A265" s="282"/>
      <c r="B265" s="21"/>
      <c r="C265" s="21"/>
      <c r="D265" s="141"/>
      <c r="E265" s="108"/>
      <c r="F265" s="22"/>
      <c r="G265" s="219"/>
      <c r="H265" s="165"/>
      <c r="I265" s="21"/>
      <c r="J265" s="21"/>
      <c r="K265" s="182"/>
      <c r="L265" s="21"/>
      <c r="M265" s="21"/>
      <c r="N265" s="21"/>
      <c r="O265" s="21"/>
      <c r="P265" s="21"/>
      <c r="Q265" s="21"/>
      <c r="R265" s="21"/>
    </row>
    <row r="266" spans="1:18" s="1" customFormat="1">
      <c r="A266" s="282"/>
      <c r="B266" s="21"/>
      <c r="C266" s="21"/>
      <c r="D266" s="141"/>
      <c r="E266" s="108"/>
      <c r="F266" s="22"/>
      <c r="G266" s="219"/>
      <c r="H266" s="165"/>
      <c r="I266" s="21"/>
      <c r="J266" s="21"/>
      <c r="K266" s="182"/>
      <c r="L266" s="21"/>
      <c r="M266" s="21"/>
      <c r="N266" s="21"/>
      <c r="O266" s="21"/>
      <c r="P266" s="21"/>
      <c r="Q266" s="21"/>
      <c r="R266" s="21"/>
    </row>
    <row r="267" spans="1:18" s="1" customFormat="1">
      <c r="A267" s="282"/>
      <c r="B267" s="21"/>
      <c r="C267" s="21"/>
      <c r="D267" s="141"/>
      <c r="E267" s="108"/>
      <c r="F267" s="22"/>
      <c r="G267" s="219"/>
      <c r="H267" s="165"/>
      <c r="I267" s="21"/>
      <c r="J267" s="21"/>
      <c r="K267" s="182"/>
      <c r="L267" s="21"/>
      <c r="M267" s="21"/>
      <c r="N267" s="21"/>
      <c r="O267" s="21"/>
      <c r="P267" s="21"/>
      <c r="Q267" s="21"/>
      <c r="R267" s="21"/>
    </row>
    <row r="268" spans="1:18" s="1" customFormat="1">
      <c r="A268" s="282"/>
      <c r="B268" s="21"/>
      <c r="C268" s="21"/>
      <c r="D268" s="141"/>
      <c r="E268" s="108"/>
      <c r="F268" s="22"/>
      <c r="G268" s="219"/>
      <c r="H268" s="165"/>
      <c r="I268" s="21"/>
      <c r="J268" s="21"/>
      <c r="K268" s="182"/>
      <c r="L268" s="21"/>
      <c r="M268" s="21"/>
      <c r="N268" s="21"/>
      <c r="O268" s="21"/>
      <c r="P268" s="21"/>
      <c r="Q268" s="21"/>
      <c r="R268" s="21"/>
    </row>
    <row r="269" spans="1:18" s="1" customFormat="1">
      <c r="A269" s="282"/>
      <c r="B269" s="21"/>
      <c r="C269" s="21"/>
      <c r="D269" s="141"/>
      <c r="E269" s="108"/>
      <c r="F269" s="22"/>
      <c r="G269" s="219"/>
      <c r="H269" s="165"/>
      <c r="I269" s="21"/>
      <c r="J269" s="21"/>
      <c r="K269" s="182"/>
      <c r="L269" s="21"/>
      <c r="M269" s="21"/>
      <c r="N269" s="21"/>
      <c r="O269" s="21"/>
      <c r="P269" s="21"/>
      <c r="Q269" s="21"/>
      <c r="R269" s="21"/>
    </row>
    <row r="270" spans="1:18" s="1" customFormat="1">
      <c r="A270" s="282"/>
      <c r="B270" s="21"/>
      <c r="C270" s="21"/>
      <c r="D270" s="141"/>
      <c r="E270" s="108"/>
      <c r="F270" s="22"/>
      <c r="G270" s="219"/>
      <c r="H270" s="165"/>
      <c r="I270" s="21"/>
      <c r="J270" s="21"/>
      <c r="K270" s="182"/>
      <c r="L270" s="21"/>
      <c r="M270" s="21"/>
      <c r="N270" s="21"/>
      <c r="O270" s="21"/>
      <c r="P270" s="21"/>
      <c r="Q270" s="21"/>
      <c r="R270" s="21"/>
    </row>
    <row r="271" spans="1:18" s="1" customFormat="1">
      <c r="A271" s="282"/>
      <c r="B271" s="21"/>
      <c r="C271" s="21"/>
      <c r="D271" s="141"/>
      <c r="E271" s="108"/>
      <c r="F271" s="22"/>
      <c r="G271" s="219"/>
      <c r="H271" s="165"/>
      <c r="I271" s="21"/>
      <c r="J271" s="21"/>
      <c r="K271" s="182"/>
      <c r="L271" s="21"/>
      <c r="M271" s="21"/>
      <c r="N271" s="21"/>
      <c r="O271" s="21"/>
      <c r="P271" s="21"/>
      <c r="Q271" s="21"/>
      <c r="R271" s="21"/>
    </row>
    <row r="272" spans="1:18" s="1" customFormat="1">
      <c r="A272" s="282"/>
      <c r="B272" s="21"/>
      <c r="C272" s="21"/>
      <c r="D272" s="141"/>
      <c r="E272" s="108"/>
      <c r="F272" s="22"/>
      <c r="G272" s="219"/>
      <c r="H272" s="165"/>
      <c r="I272" s="21"/>
      <c r="J272" s="21"/>
      <c r="K272" s="182"/>
      <c r="L272" s="21"/>
      <c r="M272" s="21"/>
      <c r="N272" s="21"/>
      <c r="O272" s="21"/>
      <c r="P272" s="21"/>
      <c r="Q272" s="21"/>
      <c r="R272" s="21"/>
    </row>
    <row r="273" spans="1:18" s="1" customFormat="1">
      <c r="A273" s="282"/>
      <c r="B273" s="21"/>
      <c r="C273" s="21"/>
      <c r="D273" s="141"/>
      <c r="E273" s="108"/>
      <c r="F273" s="22"/>
      <c r="G273" s="219"/>
      <c r="H273" s="165"/>
      <c r="I273" s="21"/>
      <c r="J273" s="21"/>
      <c r="K273" s="182"/>
      <c r="L273" s="21"/>
      <c r="M273" s="21"/>
      <c r="N273" s="21"/>
      <c r="O273" s="21"/>
      <c r="P273" s="21"/>
      <c r="Q273" s="21"/>
      <c r="R273" s="21"/>
    </row>
    <row r="274" spans="1:18" s="1" customFormat="1">
      <c r="A274" s="282"/>
      <c r="B274" s="21"/>
      <c r="C274" s="21"/>
      <c r="D274" s="141"/>
      <c r="E274" s="108"/>
      <c r="F274" s="22"/>
      <c r="G274" s="219"/>
      <c r="H274" s="165"/>
      <c r="I274" s="21"/>
      <c r="J274" s="21"/>
      <c r="K274" s="182"/>
      <c r="L274" s="21"/>
      <c r="M274" s="21"/>
      <c r="N274" s="21"/>
      <c r="O274" s="21"/>
      <c r="P274" s="21"/>
      <c r="Q274" s="21"/>
      <c r="R274" s="21"/>
    </row>
    <row r="275" spans="1:18" s="1" customFormat="1">
      <c r="A275" s="282"/>
      <c r="B275" s="21"/>
      <c r="C275" s="21"/>
      <c r="D275" s="141"/>
      <c r="E275" s="108"/>
      <c r="F275" s="22"/>
      <c r="G275" s="219"/>
      <c r="H275" s="165"/>
      <c r="I275" s="21"/>
      <c r="J275" s="21"/>
      <c r="K275" s="182"/>
      <c r="L275" s="21"/>
      <c r="M275" s="21"/>
      <c r="N275" s="21"/>
      <c r="O275" s="21"/>
      <c r="P275" s="21"/>
      <c r="Q275" s="21"/>
      <c r="R275" s="21"/>
    </row>
    <row r="276" spans="1:18" s="1" customFormat="1">
      <c r="A276" s="282"/>
      <c r="B276" s="21"/>
      <c r="C276" s="21"/>
      <c r="D276" s="141"/>
      <c r="E276" s="108"/>
      <c r="F276" s="22"/>
      <c r="G276" s="219"/>
      <c r="H276" s="165"/>
      <c r="I276" s="21"/>
      <c r="J276" s="21"/>
      <c r="K276" s="182"/>
      <c r="L276" s="21"/>
      <c r="M276" s="21"/>
      <c r="N276" s="21"/>
      <c r="O276" s="21"/>
      <c r="P276" s="21"/>
      <c r="Q276" s="21"/>
      <c r="R276" s="21"/>
    </row>
    <row r="277" spans="1:18" s="1" customFormat="1">
      <c r="A277" s="282"/>
      <c r="B277" s="21"/>
      <c r="C277" s="21"/>
      <c r="D277" s="141"/>
      <c r="E277" s="108"/>
      <c r="F277" s="22"/>
      <c r="G277" s="219"/>
      <c r="H277" s="165"/>
      <c r="I277" s="21"/>
      <c r="J277" s="21"/>
      <c r="K277" s="182"/>
      <c r="L277" s="21"/>
      <c r="M277" s="21"/>
      <c r="N277" s="21"/>
      <c r="O277" s="21"/>
      <c r="P277" s="21"/>
      <c r="Q277" s="21"/>
      <c r="R277" s="21"/>
    </row>
    <row r="278" spans="1:18" s="1" customFormat="1">
      <c r="A278" s="282"/>
      <c r="B278" s="21"/>
      <c r="C278" s="21"/>
      <c r="D278" s="141"/>
      <c r="E278" s="108"/>
      <c r="F278" s="22"/>
      <c r="G278" s="219"/>
      <c r="H278" s="165"/>
      <c r="I278" s="21"/>
      <c r="J278" s="21"/>
      <c r="K278" s="182"/>
      <c r="L278" s="21"/>
      <c r="M278" s="21"/>
      <c r="N278" s="21"/>
      <c r="O278" s="21"/>
      <c r="P278" s="21"/>
      <c r="Q278" s="21"/>
      <c r="R278" s="21"/>
    </row>
    <row r="279" spans="1:18" s="1" customFormat="1">
      <c r="A279" s="282"/>
      <c r="B279" s="21"/>
      <c r="C279" s="21"/>
      <c r="D279" s="141"/>
      <c r="E279" s="108"/>
      <c r="F279" s="22"/>
      <c r="G279" s="219"/>
      <c r="H279" s="165"/>
      <c r="I279" s="21"/>
      <c r="J279" s="21"/>
      <c r="K279" s="182"/>
      <c r="L279" s="21"/>
      <c r="M279" s="21"/>
      <c r="N279" s="21"/>
      <c r="O279" s="21"/>
      <c r="P279" s="21"/>
      <c r="Q279" s="21"/>
      <c r="R279" s="21"/>
    </row>
    <row r="280" spans="1:18" s="1" customFormat="1">
      <c r="A280" s="282"/>
      <c r="B280" s="21"/>
      <c r="C280" s="21"/>
      <c r="D280" s="141"/>
      <c r="E280" s="108"/>
      <c r="F280" s="22"/>
      <c r="G280" s="219"/>
      <c r="H280" s="165"/>
      <c r="I280" s="21"/>
      <c r="J280" s="21"/>
      <c r="K280" s="182"/>
      <c r="L280" s="21"/>
      <c r="M280" s="21"/>
      <c r="N280" s="21"/>
      <c r="O280" s="21"/>
      <c r="P280" s="21"/>
      <c r="Q280" s="21"/>
      <c r="R280" s="21"/>
    </row>
    <row r="281" spans="1:18" s="1" customFormat="1">
      <c r="A281" s="282"/>
      <c r="B281" s="21"/>
      <c r="C281" s="21"/>
      <c r="D281" s="141"/>
      <c r="E281" s="108"/>
      <c r="F281" s="22"/>
      <c r="G281" s="219"/>
      <c r="H281" s="165"/>
      <c r="I281" s="21"/>
      <c r="J281" s="21"/>
      <c r="K281" s="182"/>
      <c r="L281" s="21"/>
      <c r="M281" s="21"/>
      <c r="N281" s="21"/>
      <c r="O281" s="21"/>
      <c r="P281" s="21"/>
      <c r="Q281" s="21"/>
      <c r="R281" s="21"/>
    </row>
    <row r="282" spans="1:18" s="1" customFormat="1">
      <c r="A282" s="282"/>
      <c r="B282" s="21"/>
      <c r="C282" s="21"/>
      <c r="D282" s="141"/>
      <c r="E282" s="108"/>
      <c r="F282" s="22"/>
      <c r="G282" s="219"/>
      <c r="H282" s="165"/>
      <c r="I282" s="21"/>
      <c r="J282" s="21"/>
      <c r="K282" s="182"/>
      <c r="L282" s="21"/>
      <c r="M282" s="21"/>
      <c r="N282" s="21"/>
      <c r="O282" s="21"/>
      <c r="P282" s="21"/>
      <c r="Q282" s="21"/>
      <c r="R282" s="21"/>
    </row>
    <row r="283" spans="1:18" s="1" customFormat="1">
      <c r="A283" s="282"/>
      <c r="B283" s="21"/>
      <c r="C283" s="21"/>
      <c r="D283" s="141"/>
      <c r="E283" s="108"/>
      <c r="F283" s="22"/>
      <c r="G283" s="219"/>
      <c r="H283" s="165"/>
      <c r="I283" s="21"/>
      <c r="J283" s="21"/>
      <c r="K283" s="182"/>
      <c r="L283" s="21"/>
      <c r="M283" s="21"/>
      <c r="N283" s="21"/>
      <c r="O283" s="21"/>
      <c r="P283" s="21"/>
      <c r="Q283" s="21"/>
      <c r="R283" s="21"/>
    </row>
    <row r="284" spans="1:18" s="1" customFormat="1">
      <c r="A284" s="282"/>
      <c r="B284" s="21"/>
      <c r="C284" s="21"/>
      <c r="D284" s="141"/>
      <c r="E284" s="108"/>
      <c r="F284" s="22"/>
      <c r="G284" s="219"/>
      <c r="H284" s="165"/>
      <c r="I284" s="21"/>
      <c r="J284" s="21"/>
      <c r="K284" s="182"/>
      <c r="L284" s="21"/>
      <c r="M284" s="21"/>
      <c r="N284" s="21"/>
      <c r="O284" s="21"/>
      <c r="P284" s="21"/>
      <c r="Q284" s="21"/>
      <c r="R284" s="21"/>
    </row>
    <row r="285" spans="1:18" s="1" customFormat="1">
      <c r="A285" s="282"/>
      <c r="B285" s="21"/>
      <c r="C285" s="21"/>
      <c r="D285" s="141"/>
      <c r="E285" s="108"/>
      <c r="F285" s="22"/>
      <c r="G285" s="219"/>
      <c r="H285" s="165"/>
      <c r="I285" s="21"/>
      <c r="J285" s="21"/>
      <c r="K285" s="182"/>
      <c r="L285" s="21"/>
      <c r="M285" s="21"/>
      <c r="N285" s="21"/>
      <c r="O285" s="21"/>
      <c r="P285" s="21"/>
      <c r="Q285" s="21"/>
      <c r="R285" s="21"/>
    </row>
    <row r="286" spans="1:18" s="1" customFormat="1">
      <c r="A286" s="282"/>
      <c r="B286" s="21"/>
      <c r="C286" s="21"/>
      <c r="D286" s="141"/>
      <c r="E286" s="108"/>
      <c r="F286" s="22"/>
      <c r="G286" s="219"/>
      <c r="H286" s="165"/>
      <c r="I286" s="21"/>
      <c r="J286" s="21"/>
      <c r="K286" s="182"/>
      <c r="L286" s="21"/>
      <c r="M286" s="21"/>
      <c r="N286" s="21"/>
      <c r="O286" s="21"/>
      <c r="P286" s="21"/>
      <c r="Q286" s="21"/>
      <c r="R286" s="21"/>
    </row>
    <row r="287" spans="1:18" s="1" customFormat="1">
      <c r="A287" s="282"/>
      <c r="B287" s="21"/>
      <c r="C287" s="21"/>
      <c r="D287" s="141"/>
      <c r="E287" s="108"/>
      <c r="F287" s="22"/>
      <c r="G287" s="219"/>
      <c r="H287" s="165"/>
      <c r="I287" s="21"/>
      <c r="J287" s="21"/>
      <c r="K287" s="182"/>
      <c r="L287" s="21"/>
      <c r="M287" s="21"/>
      <c r="N287" s="21"/>
      <c r="O287" s="21"/>
      <c r="P287" s="21"/>
      <c r="Q287" s="21"/>
      <c r="R287" s="21"/>
    </row>
    <row r="288" spans="1:18" s="1" customFormat="1">
      <c r="A288" s="282"/>
      <c r="B288" s="21"/>
      <c r="C288" s="21"/>
      <c r="D288" s="141"/>
      <c r="E288" s="108"/>
      <c r="F288" s="22"/>
      <c r="G288" s="219"/>
      <c r="H288" s="165"/>
      <c r="I288" s="21"/>
      <c r="J288" s="21"/>
      <c r="K288" s="182"/>
      <c r="L288" s="21"/>
      <c r="M288" s="21"/>
      <c r="N288" s="21"/>
      <c r="O288" s="21"/>
      <c r="P288" s="21"/>
      <c r="Q288" s="21"/>
      <c r="R288" s="21"/>
    </row>
    <row r="289" spans="1:18" s="1" customFormat="1">
      <c r="A289" s="282"/>
      <c r="B289" s="21"/>
      <c r="C289" s="21"/>
      <c r="D289" s="141"/>
      <c r="E289" s="108"/>
      <c r="F289" s="22"/>
      <c r="G289" s="219"/>
      <c r="H289" s="165"/>
      <c r="I289" s="21"/>
      <c r="J289" s="21"/>
      <c r="K289" s="182"/>
      <c r="L289" s="21"/>
      <c r="M289" s="21"/>
      <c r="N289" s="21"/>
      <c r="O289" s="21"/>
      <c r="P289" s="21"/>
      <c r="Q289" s="21"/>
      <c r="R289" s="21"/>
    </row>
    <row r="290" spans="1:18" s="1" customFormat="1">
      <c r="A290" s="282"/>
      <c r="B290" s="21"/>
      <c r="C290" s="21"/>
      <c r="D290" s="141"/>
      <c r="E290" s="108"/>
      <c r="F290" s="22"/>
      <c r="G290" s="219"/>
      <c r="H290" s="165"/>
      <c r="I290" s="21"/>
      <c r="J290" s="21"/>
      <c r="K290" s="182"/>
      <c r="L290" s="21"/>
      <c r="M290" s="21"/>
      <c r="N290" s="21"/>
      <c r="O290" s="21"/>
      <c r="P290" s="21"/>
      <c r="Q290" s="21"/>
      <c r="R290" s="21"/>
    </row>
    <row r="291" spans="1:18" s="1" customFormat="1">
      <c r="A291" s="282"/>
      <c r="B291" s="21"/>
      <c r="C291" s="21"/>
      <c r="D291" s="141"/>
      <c r="E291" s="108"/>
      <c r="F291" s="22"/>
      <c r="G291" s="219"/>
      <c r="H291" s="165"/>
      <c r="I291" s="21"/>
      <c r="J291" s="21"/>
      <c r="K291" s="182"/>
      <c r="L291" s="21"/>
      <c r="M291" s="21"/>
      <c r="N291" s="21"/>
      <c r="O291" s="21"/>
      <c r="P291" s="21"/>
      <c r="Q291" s="21"/>
      <c r="R291" s="21"/>
    </row>
    <row r="292" spans="1:18" s="1" customFormat="1">
      <c r="A292" s="282"/>
      <c r="B292" s="21"/>
      <c r="C292" s="21"/>
      <c r="D292" s="141"/>
      <c r="E292" s="108"/>
      <c r="F292" s="22"/>
      <c r="G292" s="219"/>
      <c r="H292" s="165"/>
      <c r="I292" s="21"/>
      <c r="J292" s="21"/>
      <c r="K292" s="182"/>
      <c r="L292" s="21"/>
      <c r="M292" s="21"/>
      <c r="N292" s="21"/>
      <c r="O292" s="21"/>
      <c r="P292" s="21"/>
      <c r="Q292" s="21"/>
      <c r="R292" s="21"/>
    </row>
    <row r="293" spans="1:18" s="1" customFormat="1">
      <c r="A293" s="282"/>
      <c r="B293" s="21"/>
      <c r="C293" s="21"/>
      <c r="D293" s="141"/>
      <c r="E293" s="108"/>
      <c r="F293" s="22"/>
      <c r="G293" s="219"/>
      <c r="H293" s="165"/>
      <c r="I293" s="21"/>
      <c r="J293" s="21"/>
      <c r="K293" s="182"/>
      <c r="L293" s="21"/>
      <c r="M293" s="21"/>
      <c r="N293" s="21"/>
      <c r="O293" s="21"/>
      <c r="P293" s="21"/>
      <c r="Q293" s="21"/>
      <c r="R293" s="21"/>
    </row>
    <row r="294" spans="1:18" s="1" customFormat="1">
      <c r="A294" s="282"/>
      <c r="B294" s="21"/>
      <c r="C294" s="21"/>
      <c r="D294" s="141"/>
      <c r="E294" s="108"/>
      <c r="F294" s="22"/>
      <c r="G294" s="219"/>
      <c r="H294" s="165"/>
      <c r="I294" s="21"/>
      <c r="J294" s="21"/>
      <c r="K294" s="182"/>
      <c r="L294" s="21"/>
      <c r="M294" s="21"/>
      <c r="N294" s="21"/>
      <c r="O294" s="21"/>
      <c r="P294" s="21"/>
      <c r="Q294" s="21"/>
      <c r="R294" s="21"/>
    </row>
    <row r="295" spans="1:18" s="1" customFormat="1">
      <c r="A295" s="282"/>
      <c r="B295" s="21"/>
      <c r="C295" s="21"/>
      <c r="D295" s="141"/>
      <c r="E295" s="108"/>
      <c r="F295" s="22"/>
      <c r="G295" s="219"/>
      <c r="H295" s="165"/>
      <c r="I295" s="21"/>
      <c r="J295" s="21"/>
      <c r="K295" s="182"/>
      <c r="L295" s="21"/>
      <c r="M295" s="21"/>
      <c r="N295" s="21"/>
      <c r="O295" s="21"/>
      <c r="P295" s="21"/>
      <c r="Q295" s="21"/>
      <c r="R295" s="21"/>
    </row>
    <row r="296" spans="1:18" s="1" customFormat="1">
      <c r="A296" s="282"/>
      <c r="B296" s="21"/>
      <c r="C296" s="21"/>
      <c r="D296" s="141"/>
      <c r="E296" s="108"/>
      <c r="F296" s="22"/>
      <c r="G296" s="219"/>
      <c r="H296" s="165"/>
      <c r="I296" s="21"/>
      <c r="J296" s="21"/>
      <c r="K296" s="182"/>
      <c r="L296" s="21"/>
      <c r="M296" s="21"/>
      <c r="N296" s="21"/>
      <c r="O296" s="21"/>
      <c r="P296" s="21"/>
      <c r="Q296" s="21"/>
      <c r="R296" s="21"/>
    </row>
    <row r="297" spans="1:18" s="1" customFormat="1">
      <c r="A297" s="282"/>
      <c r="B297" s="21"/>
      <c r="C297" s="21"/>
      <c r="D297" s="141"/>
      <c r="E297" s="108"/>
      <c r="F297" s="22"/>
      <c r="G297" s="219"/>
      <c r="H297" s="165"/>
      <c r="I297" s="21"/>
      <c r="J297" s="21"/>
      <c r="K297" s="182"/>
      <c r="L297" s="21"/>
      <c r="M297" s="21"/>
      <c r="N297" s="21"/>
      <c r="O297" s="21"/>
      <c r="P297" s="21"/>
      <c r="Q297" s="21"/>
      <c r="R297" s="21"/>
    </row>
    <row r="298" spans="1:18" s="1" customFormat="1">
      <c r="A298" s="282"/>
      <c r="B298" s="21"/>
      <c r="C298" s="21"/>
      <c r="D298" s="141"/>
      <c r="E298" s="108"/>
      <c r="F298" s="22"/>
      <c r="G298" s="219"/>
      <c r="H298" s="165"/>
      <c r="I298" s="21"/>
      <c r="J298" s="21"/>
      <c r="K298" s="182"/>
      <c r="L298" s="21"/>
      <c r="M298" s="21"/>
      <c r="N298" s="21"/>
      <c r="O298" s="21"/>
      <c r="P298" s="21"/>
      <c r="Q298" s="21"/>
      <c r="R298" s="21"/>
    </row>
    <row r="299" spans="1:18" s="1" customFormat="1">
      <c r="A299" s="282"/>
      <c r="B299" s="21"/>
      <c r="C299" s="21"/>
      <c r="D299" s="141"/>
      <c r="E299" s="108"/>
      <c r="F299" s="22"/>
      <c r="G299" s="219"/>
      <c r="H299" s="165"/>
      <c r="I299" s="21"/>
      <c r="J299" s="21"/>
      <c r="K299" s="182"/>
      <c r="L299" s="21"/>
      <c r="M299" s="21"/>
      <c r="N299" s="21"/>
      <c r="O299" s="21"/>
      <c r="P299" s="21"/>
      <c r="Q299" s="21"/>
      <c r="R299" s="21"/>
    </row>
    <row r="300" spans="1:18" s="1" customFormat="1">
      <c r="A300" s="282"/>
      <c r="B300" s="21"/>
      <c r="C300" s="21"/>
      <c r="D300" s="141"/>
      <c r="E300" s="108"/>
      <c r="F300" s="22"/>
      <c r="G300" s="219"/>
      <c r="H300" s="165"/>
      <c r="I300" s="21"/>
      <c r="J300" s="21"/>
      <c r="K300" s="182"/>
      <c r="L300" s="21"/>
      <c r="M300" s="21"/>
      <c r="N300" s="21"/>
      <c r="O300" s="21"/>
      <c r="P300" s="21"/>
      <c r="Q300" s="21"/>
      <c r="R300" s="21"/>
    </row>
    <row r="301" spans="1:18" s="1" customFormat="1">
      <c r="A301" s="282"/>
      <c r="B301" s="21"/>
      <c r="C301" s="21"/>
      <c r="D301" s="141"/>
      <c r="E301" s="108"/>
      <c r="F301" s="22"/>
      <c r="G301" s="219"/>
      <c r="H301" s="165"/>
      <c r="I301" s="21"/>
      <c r="J301" s="21"/>
      <c r="K301" s="182"/>
      <c r="L301" s="21"/>
      <c r="M301" s="21"/>
      <c r="N301" s="21"/>
      <c r="O301" s="21"/>
      <c r="P301" s="21"/>
      <c r="Q301" s="21"/>
      <c r="R301" s="21"/>
    </row>
    <row r="302" spans="1:18" s="1" customFormat="1">
      <c r="A302" s="282"/>
      <c r="B302" s="21"/>
      <c r="C302" s="21"/>
      <c r="D302" s="141"/>
      <c r="E302" s="108"/>
      <c r="F302" s="22"/>
      <c r="G302" s="219"/>
      <c r="H302" s="165"/>
      <c r="I302" s="21"/>
      <c r="J302" s="21"/>
      <c r="K302" s="182"/>
      <c r="L302" s="21"/>
      <c r="M302" s="21"/>
      <c r="N302" s="21"/>
      <c r="O302" s="21"/>
      <c r="P302" s="21"/>
      <c r="Q302" s="21"/>
      <c r="R302" s="21"/>
    </row>
    <row r="303" spans="1:18" s="1" customFormat="1">
      <c r="A303" s="282"/>
      <c r="B303" s="21"/>
      <c r="C303" s="21"/>
      <c r="D303" s="141"/>
      <c r="E303" s="108"/>
      <c r="F303" s="22"/>
      <c r="G303" s="219"/>
      <c r="H303" s="165"/>
      <c r="I303" s="21"/>
      <c r="J303" s="21"/>
      <c r="K303" s="182"/>
      <c r="L303" s="21"/>
      <c r="M303" s="21"/>
      <c r="N303" s="21"/>
      <c r="O303" s="21"/>
      <c r="P303" s="21"/>
      <c r="Q303" s="21"/>
      <c r="R303" s="21"/>
    </row>
    <row r="304" spans="1:18" s="1" customFormat="1">
      <c r="A304" s="282"/>
      <c r="B304" s="21"/>
      <c r="C304" s="21"/>
      <c r="D304" s="141"/>
      <c r="E304" s="108"/>
      <c r="F304" s="22"/>
      <c r="G304" s="219"/>
      <c r="H304" s="165"/>
      <c r="I304" s="21"/>
      <c r="J304" s="21"/>
      <c r="K304" s="182"/>
      <c r="L304" s="21"/>
      <c r="M304" s="21"/>
      <c r="N304" s="21"/>
      <c r="O304" s="21"/>
      <c r="P304" s="21"/>
      <c r="Q304" s="21"/>
      <c r="R304" s="21"/>
    </row>
    <row r="305" spans="1:18" s="1" customFormat="1">
      <c r="A305" s="282"/>
      <c r="B305" s="21"/>
      <c r="C305" s="21"/>
      <c r="D305" s="141"/>
      <c r="E305" s="108"/>
      <c r="F305" s="22"/>
      <c r="G305" s="219"/>
      <c r="H305" s="165"/>
      <c r="I305" s="21"/>
      <c r="J305" s="21"/>
      <c r="K305" s="182"/>
      <c r="L305" s="21"/>
      <c r="M305" s="21"/>
      <c r="N305" s="21"/>
      <c r="O305" s="21"/>
      <c r="P305" s="21"/>
      <c r="Q305" s="21"/>
      <c r="R305" s="21"/>
    </row>
    <row r="306" spans="1:18" s="1" customFormat="1">
      <c r="A306" s="282"/>
      <c r="B306" s="21"/>
      <c r="C306" s="21"/>
      <c r="D306" s="141"/>
      <c r="E306" s="108"/>
      <c r="F306" s="22"/>
      <c r="G306" s="219"/>
      <c r="H306" s="165"/>
      <c r="I306" s="21"/>
      <c r="J306" s="21"/>
      <c r="K306" s="182"/>
      <c r="L306" s="21"/>
      <c r="M306" s="21"/>
      <c r="N306" s="21"/>
      <c r="O306" s="21"/>
      <c r="P306" s="21"/>
      <c r="Q306" s="21"/>
      <c r="R306" s="21"/>
    </row>
    <row r="307" spans="1:18" s="1" customFormat="1">
      <c r="A307" s="282"/>
      <c r="B307" s="21"/>
      <c r="C307" s="21"/>
      <c r="D307" s="141"/>
      <c r="E307" s="108"/>
      <c r="F307" s="22"/>
      <c r="G307" s="219"/>
      <c r="H307" s="165"/>
      <c r="I307" s="21"/>
      <c r="J307" s="21"/>
      <c r="K307" s="182"/>
      <c r="L307" s="21"/>
      <c r="M307" s="21"/>
      <c r="N307" s="21"/>
      <c r="O307" s="21"/>
      <c r="P307" s="21"/>
      <c r="Q307" s="21"/>
      <c r="R307" s="21"/>
    </row>
    <row r="308" spans="1:18" s="1" customFormat="1">
      <c r="A308" s="282"/>
      <c r="B308" s="21"/>
      <c r="C308" s="21"/>
      <c r="D308" s="141"/>
      <c r="E308" s="108"/>
      <c r="F308" s="22"/>
      <c r="G308" s="219"/>
      <c r="H308" s="165"/>
      <c r="I308" s="21"/>
      <c r="J308" s="21"/>
      <c r="K308" s="182"/>
      <c r="L308" s="21"/>
      <c r="M308" s="21"/>
      <c r="N308" s="21"/>
      <c r="O308" s="21"/>
      <c r="P308" s="21"/>
      <c r="Q308" s="21"/>
      <c r="R308" s="21"/>
    </row>
    <row r="309" spans="1:18" s="1" customFormat="1">
      <c r="A309" s="282"/>
      <c r="B309" s="21"/>
      <c r="C309" s="21"/>
      <c r="D309" s="141"/>
      <c r="E309" s="108"/>
      <c r="F309" s="22"/>
      <c r="G309" s="219"/>
      <c r="H309" s="165"/>
      <c r="I309" s="21"/>
      <c r="J309" s="21"/>
      <c r="K309" s="182"/>
      <c r="L309" s="21"/>
      <c r="M309" s="21"/>
      <c r="N309" s="21"/>
      <c r="O309" s="21"/>
      <c r="P309" s="21"/>
      <c r="Q309" s="21"/>
      <c r="R309" s="21"/>
    </row>
    <row r="310" spans="1:18" s="1" customFormat="1">
      <c r="A310" s="282"/>
      <c r="B310" s="21"/>
      <c r="C310" s="21"/>
      <c r="D310" s="141"/>
      <c r="E310" s="108"/>
      <c r="F310" s="22"/>
      <c r="G310" s="219"/>
      <c r="H310" s="165"/>
      <c r="I310" s="21"/>
      <c r="J310" s="21"/>
      <c r="K310" s="182"/>
      <c r="L310" s="21"/>
      <c r="M310" s="21"/>
      <c r="N310" s="21"/>
      <c r="O310" s="21"/>
      <c r="P310" s="21"/>
      <c r="Q310" s="21"/>
      <c r="R310" s="21"/>
    </row>
    <row r="311" spans="1:18" s="1" customFormat="1">
      <c r="A311" s="282"/>
      <c r="B311" s="21"/>
      <c r="C311" s="21"/>
      <c r="D311" s="141"/>
      <c r="E311" s="108"/>
      <c r="F311" s="22"/>
      <c r="G311" s="219"/>
      <c r="H311" s="165"/>
      <c r="I311" s="21"/>
      <c r="J311" s="21"/>
      <c r="K311" s="182"/>
      <c r="L311" s="21"/>
      <c r="M311" s="21"/>
      <c r="N311" s="21"/>
      <c r="O311" s="21"/>
      <c r="P311" s="21"/>
      <c r="Q311" s="21"/>
      <c r="R311" s="21"/>
    </row>
    <row r="312" spans="1:18" s="1" customFormat="1">
      <c r="A312" s="282"/>
      <c r="B312" s="21"/>
      <c r="C312" s="21"/>
      <c r="D312" s="141"/>
      <c r="E312" s="108"/>
      <c r="F312" s="22"/>
      <c r="G312" s="219"/>
      <c r="H312" s="165"/>
      <c r="I312" s="21"/>
      <c r="J312" s="21"/>
      <c r="K312" s="182"/>
      <c r="L312" s="21"/>
      <c r="M312" s="21"/>
      <c r="N312" s="21"/>
      <c r="O312" s="21"/>
      <c r="P312" s="21"/>
      <c r="Q312" s="21"/>
      <c r="R312" s="21"/>
    </row>
    <row r="313" spans="1:18" s="1" customFormat="1">
      <c r="A313" s="282"/>
      <c r="B313" s="21"/>
      <c r="C313" s="21"/>
      <c r="D313" s="141"/>
      <c r="E313" s="108"/>
      <c r="F313" s="22"/>
      <c r="G313" s="219"/>
      <c r="H313" s="165"/>
      <c r="I313" s="21"/>
      <c r="J313" s="21"/>
      <c r="K313" s="182"/>
      <c r="L313" s="21"/>
      <c r="M313" s="21"/>
      <c r="N313" s="21"/>
      <c r="O313" s="21"/>
      <c r="P313" s="21"/>
      <c r="Q313" s="21"/>
      <c r="R313" s="21"/>
    </row>
    <row r="314" spans="1:18" s="1" customFormat="1">
      <c r="A314" s="282"/>
      <c r="B314" s="21"/>
      <c r="C314" s="21"/>
      <c r="D314" s="141"/>
      <c r="E314" s="108"/>
      <c r="F314" s="22"/>
      <c r="G314" s="219"/>
      <c r="H314" s="165"/>
      <c r="I314" s="21"/>
      <c r="J314" s="21"/>
      <c r="K314" s="182"/>
      <c r="L314" s="21"/>
      <c r="M314" s="21"/>
      <c r="N314" s="21"/>
      <c r="O314" s="21"/>
      <c r="P314" s="21"/>
      <c r="Q314" s="21"/>
      <c r="R314" s="21"/>
    </row>
    <row r="315" spans="1:18" s="1" customFormat="1">
      <c r="A315" s="282"/>
      <c r="B315" s="21"/>
      <c r="C315" s="21"/>
      <c r="D315" s="141"/>
      <c r="E315" s="108"/>
      <c r="F315" s="22"/>
      <c r="G315" s="219"/>
      <c r="H315" s="165"/>
      <c r="I315" s="21"/>
      <c r="J315" s="21"/>
      <c r="K315" s="182"/>
      <c r="L315" s="21"/>
      <c r="M315" s="21"/>
      <c r="N315" s="21"/>
      <c r="O315" s="21"/>
      <c r="P315" s="21"/>
      <c r="Q315" s="21"/>
      <c r="R315" s="21"/>
    </row>
    <row r="316" spans="1:18" s="1" customFormat="1">
      <c r="A316" s="282"/>
      <c r="B316" s="21"/>
      <c r="C316" s="21"/>
      <c r="D316" s="141"/>
      <c r="E316" s="108"/>
      <c r="F316" s="22"/>
      <c r="G316" s="219"/>
      <c r="H316" s="165"/>
      <c r="I316" s="21"/>
      <c r="J316" s="21"/>
      <c r="K316" s="182"/>
      <c r="L316" s="21"/>
      <c r="M316" s="21"/>
      <c r="N316" s="21"/>
      <c r="O316" s="21"/>
      <c r="P316" s="21"/>
      <c r="Q316" s="21"/>
      <c r="R316" s="21"/>
    </row>
    <row r="317" spans="1:18" s="1" customFormat="1">
      <c r="A317" s="282"/>
      <c r="B317" s="21"/>
      <c r="C317" s="21"/>
      <c r="D317" s="141"/>
      <c r="E317" s="108"/>
      <c r="F317" s="22"/>
      <c r="G317" s="219"/>
      <c r="H317" s="165"/>
      <c r="I317" s="21"/>
      <c r="J317" s="21"/>
      <c r="K317" s="182"/>
      <c r="L317" s="21"/>
      <c r="M317" s="21"/>
      <c r="N317" s="21"/>
      <c r="O317" s="21"/>
      <c r="P317" s="21"/>
      <c r="Q317" s="21"/>
      <c r="R317" s="21"/>
    </row>
    <row r="318" spans="1:18" s="1" customFormat="1">
      <c r="A318" s="282"/>
      <c r="B318" s="21"/>
      <c r="C318" s="21"/>
      <c r="D318" s="141"/>
      <c r="E318" s="108"/>
      <c r="F318" s="22"/>
      <c r="G318" s="219"/>
      <c r="H318" s="165"/>
      <c r="I318" s="21"/>
      <c r="J318" s="21"/>
      <c r="K318" s="182"/>
      <c r="L318" s="21"/>
      <c r="M318" s="21"/>
      <c r="N318" s="21"/>
      <c r="O318" s="21"/>
      <c r="P318" s="21"/>
      <c r="Q318" s="21"/>
      <c r="R318" s="21"/>
    </row>
    <row r="319" spans="1:18" s="1" customFormat="1">
      <c r="A319" s="282"/>
      <c r="B319" s="21"/>
      <c r="C319" s="21"/>
      <c r="D319" s="141"/>
      <c r="E319" s="108"/>
      <c r="F319" s="22"/>
      <c r="G319" s="219"/>
      <c r="H319" s="165"/>
      <c r="I319" s="21"/>
      <c r="J319" s="21"/>
      <c r="K319" s="182"/>
      <c r="L319" s="21"/>
      <c r="M319" s="21"/>
      <c r="N319" s="21"/>
      <c r="O319" s="21"/>
      <c r="P319" s="21"/>
      <c r="Q319" s="21"/>
      <c r="R319" s="21"/>
    </row>
    <row r="320" spans="1:18" s="1" customFormat="1">
      <c r="A320" s="282"/>
      <c r="B320" s="21"/>
      <c r="C320" s="21"/>
      <c r="D320" s="141"/>
      <c r="E320" s="108"/>
      <c r="F320" s="22"/>
      <c r="G320" s="219"/>
      <c r="H320" s="165"/>
      <c r="I320" s="21"/>
      <c r="J320" s="21"/>
      <c r="K320" s="182"/>
      <c r="L320" s="21"/>
      <c r="M320" s="21"/>
      <c r="N320" s="21"/>
      <c r="O320" s="21"/>
      <c r="P320" s="21"/>
      <c r="Q320" s="21"/>
      <c r="R320" s="21"/>
    </row>
    <row r="321" spans="1:18" s="1" customFormat="1">
      <c r="A321" s="282"/>
      <c r="B321" s="21"/>
      <c r="C321" s="21"/>
      <c r="D321" s="141"/>
      <c r="E321" s="108"/>
      <c r="F321" s="22"/>
      <c r="G321" s="219"/>
      <c r="H321" s="165"/>
      <c r="I321" s="21"/>
      <c r="J321" s="21"/>
      <c r="K321" s="182"/>
      <c r="L321" s="21"/>
      <c r="M321" s="21"/>
      <c r="N321" s="21"/>
      <c r="O321" s="21"/>
      <c r="P321" s="21"/>
      <c r="Q321" s="21"/>
      <c r="R321" s="21"/>
    </row>
    <row r="322" spans="1:18" s="1" customFormat="1">
      <c r="A322" s="282"/>
      <c r="B322" s="21"/>
      <c r="C322" s="21"/>
      <c r="D322" s="141"/>
      <c r="E322" s="108"/>
      <c r="F322" s="22"/>
      <c r="G322" s="219"/>
      <c r="H322" s="165"/>
      <c r="I322" s="21"/>
      <c r="J322" s="21"/>
      <c r="K322" s="182"/>
      <c r="L322" s="21"/>
      <c r="M322" s="21"/>
      <c r="N322" s="21"/>
      <c r="O322" s="21"/>
      <c r="P322" s="21"/>
      <c r="Q322" s="21"/>
      <c r="R322" s="21"/>
    </row>
    <row r="323" spans="1:18" s="1" customFormat="1">
      <c r="A323" s="282"/>
      <c r="B323" s="21"/>
      <c r="C323" s="21"/>
      <c r="D323" s="141"/>
      <c r="E323" s="108"/>
      <c r="F323" s="22"/>
      <c r="G323" s="219"/>
      <c r="H323" s="165"/>
      <c r="I323" s="21"/>
      <c r="J323" s="21"/>
      <c r="K323" s="182"/>
      <c r="L323" s="21"/>
      <c r="M323" s="21"/>
      <c r="N323" s="21"/>
      <c r="O323" s="21"/>
      <c r="P323" s="21"/>
      <c r="Q323" s="21"/>
      <c r="R323" s="21"/>
    </row>
    <row r="324" spans="1:18" s="1" customFormat="1">
      <c r="A324" s="282"/>
      <c r="B324" s="21"/>
      <c r="C324" s="21"/>
      <c r="D324" s="141"/>
      <c r="E324" s="108"/>
      <c r="F324" s="22"/>
      <c r="G324" s="219"/>
      <c r="H324" s="165"/>
      <c r="I324" s="21"/>
      <c r="J324" s="21"/>
      <c r="K324" s="182"/>
      <c r="L324" s="21"/>
      <c r="M324" s="21"/>
      <c r="N324" s="21"/>
      <c r="O324" s="21"/>
      <c r="P324" s="21"/>
      <c r="Q324" s="21"/>
      <c r="R324" s="21"/>
    </row>
    <row r="325" spans="1:18" s="1" customFormat="1">
      <c r="A325" s="282"/>
      <c r="B325" s="21"/>
      <c r="C325" s="21"/>
      <c r="D325" s="141"/>
      <c r="E325" s="108"/>
      <c r="F325" s="22"/>
      <c r="G325" s="219"/>
      <c r="H325" s="165"/>
      <c r="I325" s="21"/>
      <c r="J325" s="21"/>
      <c r="K325" s="182"/>
      <c r="L325" s="21"/>
      <c r="M325" s="21"/>
      <c r="N325" s="21"/>
      <c r="O325" s="21"/>
      <c r="P325" s="21"/>
      <c r="Q325" s="21"/>
      <c r="R325" s="21"/>
    </row>
    <row r="326" spans="1:18" s="1" customFormat="1">
      <c r="A326" s="282"/>
      <c r="B326" s="21"/>
      <c r="C326" s="21"/>
      <c r="D326" s="141"/>
      <c r="E326" s="108"/>
      <c r="F326" s="22"/>
      <c r="G326" s="219"/>
      <c r="H326" s="165"/>
      <c r="I326" s="21"/>
      <c r="J326" s="21"/>
      <c r="K326" s="182"/>
      <c r="L326" s="21"/>
      <c r="M326" s="21"/>
      <c r="N326" s="21"/>
      <c r="O326" s="21"/>
      <c r="P326" s="21"/>
      <c r="Q326" s="21"/>
      <c r="R326" s="21"/>
    </row>
    <row r="327" spans="1:18" s="1" customFormat="1">
      <c r="A327" s="282"/>
      <c r="B327" s="21"/>
      <c r="C327" s="21"/>
      <c r="D327" s="141"/>
      <c r="E327" s="108"/>
      <c r="F327" s="22"/>
      <c r="G327" s="219"/>
      <c r="H327" s="165"/>
      <c r="I327" s="21"/>
      <c r="J327" s="21"/>
      <c r="K327" s="182"/>
      <c r="L327" s="21"/>
      <c r="M327" s="21"/>
      <c r="N327" s="21"/>
      <c r="O327" s="21"/>
      <c r="P327" s="21"/>
      <c r="Q327" s="21"/>
      <c r="R327" s="21"/>
    </row>
    <row r="328" spans="1:18" s="1" customFormat="1">
      <c r="A328" s="282"/>
      <c r="B328" s="21"/>
      <c r="C328" s="21"/>
      <c r="D328" s="141"/>
      <c r="E328" s="108"/>
      <c r="F328" s="22"/>
      <c r="G328" s="219"/>
      <c r="H328" s="165"/>
      <c r="I328" s="21"/>
      <c r="J328" s="21"/>
      <c r="K328" s="182"/>
      <c r="L328" s="21"/>
      <c r="M328" s="21"/>
      <c r="N328" s="21"/>
      <c r="O328" s="21"/>
      <c r="P328" s="21"/>
      <c r="Q328" s="21"/>
      <c r="R328" s="21"/>
    </row>
    <row r="329" spans="1:18" s="1" customFormat="1">
      <c r="A329" s="282"/>
      <c r="B329" s="21"/>
      <c r="C329" s="21"/>
      <c r="D329" s="141"/>
      <c r="E329" s="108"/>
      <c r="F329" s="22"/>
      <c r="G329" s="219"/>
      <c r="H329" s="165"/>
      <c r="I329" s="21"/>
      <c r="J329" s="21"/>
      <c r="K329" s="182"/>
      <c r="L329" s="21"/>
      <c r="M329" s="21"/>
      <c r="N329" s="21"/>
      <c r="O329" s="21"/>
      <c r="P329" s="21"/>
      <c r="Q329" s="21"/>
      <c r="R329" s="21"/>
    </row>
    <row r="330" spans="1:18" s="1" customFormat="1">
      <c r="A330" s="282"/>
      <c r="B330" s="21"/>
      <c r="C330" s="21"/>
      <c r="D330" s="141"/>
      <c r="E330" s="108"/>
      <c r="F330" s="22"/>
      <c r="G330" s="219"/>
      <c r="H330" s="165"/>
      <c r="I330" s="21"/>
      <c r="J330" s="21"/>
      <c r="K330" s="182"/>
      <c r="L330" s="21"/>
      <c r="M330" s="21"/>
      <c r="N330" s="21"/>
      <c r="O330" s="21"/>
      <c r="P330" s="21"/>
      <c r="Q330" s="21"/>
      <c r="R330" s="21"/>
    </row>
    <row r="331" spans="1:18" s="1" customFormat="1">
      <c r="A331" s="282"/>
      <c r="B331" s="21"/>
      <c r="C331" s="21"/>
      <c r="D331" s="141"/>
      <c r="E331" s="108"/>
      <c r="F331" s="22"/>
      <c r="G331" s="219"/>
      <c r="H331" s="165"/>
      <c r="I331" s="21"/>
      <c r="J331" s="21"/>
      <c r="K331" s="182"/>
      <c r="L331" s="21"/>
      <c r="M331" s="21"/>
      <c r="N331" s="21"/>
      <c r="O331" s="21"/>
      <c r="P331" s="21"/>
      <c r="Q331" s="21"/>
      <c r="R331" s="21"/>
    </row>
    <row r="332" spans="1:18" s="1" customFormat="1">
      <c r="A332" s="282"/>
      <c r="B332" s="21"/>
      <c r="C332" s="21"/>
      <c r="D332" s="141"/>
      <c r="E332" s="108"/>
      <c r="F332" s="22"/>
      <c r="G332" s="219"/>
      <c r="H332" s="165"/>
      <c r="I332" s="21"/>
      <c r="J332" s="21"/>
      <c r="K332" s="182"/>
      <c r="L332" s="21"/>
      <c r="M332" s="21"/>
      <c r="N332" s="21"/>
      <c r="O332" s="21"/>
      <c r="P332" s="21"/>
      <c r="Q332" s="21"/>
      <c r="R332" s="21"/>
    </row>
    <row r="333" spans="1:18" s="1" customFormat="1">
      <c r="A333" s="282"/>
      <c r="B333" s="21"/>
      <c r="C333" s="21"/>
      <c r="D333" s="141"/>
      <c r="E333" s="108"/>
      <c r="F333" s="22"/>
      <c r="G333" s="219"/>
      <c r="H333" s="165"/>
      <c r="I333" s="21"/>
      <c r="J333" s="21"/>
      <c r="K333" s="182"/>
      <c r="L333" s="21"/>
      <c r="M333" s="21"/>
      <c r="N333" s="21"/>
      <c r="O333" s="21"/>
      <c r="P333" s="21"/>
      <c r="Q333" s="21"/>
      <c r="R333" s="21"/>
    </row>
    <row r="334" spans="1:18" s="1" customFormat="1">
      <c r="A334" s="282"/>
      <c r="B334" s="21"/>
      <c r="C334" s="21"/>
      <c r="D334" s="141"/>
      <c r="E334" s="108"/>
      <c r="F334" s="22"/>
      <c r="G334" s="219"/>
      <c r="H334" s="165"/>
      <c r="I334" s="21"/>
      <c r="J334" s="21"/>
      <c r="K334" s="182"/>
      <c r="L334" s="21"/>
      <c r="M334" s="21"/>
      <c r="N334" s="21"/>
      <c r="O334" s="21"/>
      <c r="P334" s="21"/>
      <c r="Q334" s="21"/>
      <c r="R334" s="21"/>
    </row>
    <row r="335" spans="1:18" s="1" customFormat="1">
      <c r="A335" s="282"/>
      <c r="B335" s="21"/>
      <c r="C335" s="21"/>
      <c r="D335" s="141"/>
      <c r="E335" s="108"/>
      <c r="F335" s="22"/>
      <c r="G335" s="219"/>
      <c r="H335" s="165"/>
      <c r="I335" s="21"/>
      <c r="J335" s="21"/>
      <c r="K335" s="182"/>
      <c r="L335" s="21"/>
      <c r="M335" s="21"/>
      <c r="N335" s="21"/>
      <c r="O335" s="21"/>
      <c r="P335" s="21"/>
      <c r="Q335" s="21"/>
      <c r="R335" s="21"/>
    </row>
    <row r="336" spans="1:18" s="1" customFormat="1">
      <c r="A336" s="282"/>
      <c r="B336" s="21"/>
      <c r="C336" s="21"/>
      <c r="D336" s="141"/>
      <c r="E336" s="108"/>
      <c r="F336" s="22"/>
      <c r="G336" s="219"/>
      <c r="H336" s="165"/>
      <c r="I336" s="21"/>
      <c r="J336" s="21"/>
      <c r="K336" s="182"/>
      <c r="L336" s="21"/>
      <c r="M336" s="21"/>
      <c r="N336" s="21"/>
      <c r="O336" s="21"/>
      <c r="P336" s="21"/>
      <c r="Q336" s="21"/>
      <c r="R336" s="21"/>
    </row>
    <row r="337" spans="1:18" s="1" customFormat="1">
      <c r="A337" s="282"/>
      <c r="B337" s="21"/>
      <c r="C337" s="21"/>
      <c r="D337" s="141"/>
      <c r="E337" s="108"/>
      <c r="F337" s="22"/>
      <c r="G337" s="219"/>
      <c r="H337" s="165"/>
      <c r="I337" s="21"/>
      <c r="J337" s="21"/>
      <c r="K337" s="182"/>
      <c r="L337" s="21"/>
      <c r="M337" s="21"/>
      <c r="N337" s="21"/>
      <c r="O337" s="21"/>
      <c r="P337" s="21"/>
      <c r="Q337" s="21"/>
      <c r="R337" s="21"/>
    </row>
    <row r="338" spans="1:18" s="1" customFormat="1">
      <c r="A338" s="282"/>
      <c r="B338" s="21"/>
      <c r="C338" s="21"/>
      <c r="D338" s="141"/>
      <c r="E338" s="108"/>
      <c r="F338" s="22"/>
      <c r="G338" s="219"/>
      <c r="H338" s="165"/>
      <c r="I338" s="21"/>
      <c r="J338" s="21"/>
      <c r="K338" s="182"/>
      <c r="L338" s="21"/>
      <c r="M338" s="21"/>
      <c r="N338" s="21"/>
      <c r="O338" s="21"/>
      <c r="P338" s="21"/>
      <c r="Q338" s="21"/>
      <c r="R338" s="21"/>
    </row>
    <row r="339" spans="1:18" s="1" customFormat="1">
      <c r="A339" s="282"/>
      <c r="B339" s="21"/>
      <c r="C339" s="21"/>
      <c r="D339" s="141"/>
      <c r="E339" s="108"/>
      <c r="F339" s="22"/>
      <c r="G339" s="219"/>
      <c r="H339" s="165"/>
      <c r="I339" s="21"/>
      <c r="J339" s="21"/>
      <c r="K339" s="182"/>
      <c r="L339" s="21"/>
      <c r="M339" s="21"/>
      <c r="N339" s="21"/>
      <c r="O339" s="21"/>
      <c r="P339" s="21"/>
      <c r="Q339" s="21"/>
      <c r="R339" s="21"/>
    </row>
    <row r="340" spans="1:18" s="1" customFormat="1">
      <c r="A340" s="282"/>
      <c r="B340" s="21"/>
      <c r="C340" s="21"/>
      <c r="D340" s="141"/>
      <c r="E340" s="108"/>
      <c r="F340" s="22"/>
      <c r="G340" s="219"/>
      <c r="H340" s="165"/>
      <c r="I340" s="21"/>
      <c r="J340" s="21"/>
      <c r="K340" s="182"/>
      <c r="L340" s="21"/>
      <c r="M340" s="21"/>
      <c r="N340" s="21"/>
      <c r="O340" s="21"/>
      <c r="P340" s="21"/>
      <c r="Q340" s="21"/>
      <c r="R340" s="21"/>
    </row>
    <row r="341" spans="1:18" s="1" customFormat="1">
      <c r="A341" s="282"/>
      <c r="B341" s="21"/>
      <c r="C341" s="21"/>
      <c r="D341" s="141"/>
      <c r="E341" s="108"/>
      <c r="F341" s="22"/>
      <c r="G341" s="219"/>
      <c r="H341" s="165"/>
      <c r="I341" s="21"/>
      <c r="J341" s="21"/>
      <c r="K341" s="182"/>
      <c r="L341" s="21"/>
      <c r="M341" s="21"/>
      <c r="N341" s="21"/>
      <c r="O341" s="21"/>
      <c r="P341" s="21"/>
      <c r="Q341" s="21"/>
      <c r="R341" s="21"/>
    </row>
    <row r="342" spans="1:18" s="1" customFormat="1">
      <c r="A342" s="282"/>
      <c r="B342" s="21"/>
      <c r="C342" s="21"/>
      <c r="D342" s="141"/>
      <c r="E342" s="108"/>
      <c r="F342" s="22"/>
      <c r="G342" s="219"/>
      <c r="H342" s="165"/>
      <c r="I342" s="21"/>
      <c r="J342" s="21"/>
      <c r="K342" s="182"/>
      <c r="L342" s="21"/>
      <c r="M342" s="21"/>
      <c r="N342" s="21"/>
      <c r="O342" s="21"/>
      <c r="P342" s="21"/>
      <c r="Q342" s="21"/>
      <c r="R342" s="21"/>
    </row>
    <row r="343" spans="1:18" s="1" customFormat="1">
      <c r="A343" s="282"/>
      <c r="B343" s="21"/>
      <c r="C343" s="21"/>
      <c r="D343" s="141"/>
      <c r="E343" s="108"/>
      <c r="F343" s="22"/>
      <c r="G343" s="219"/>
      <c r="H343" s="165"/>
      <c r="I343" s="21"/>
      <c r="J343" s="21"/>
      <c r="K343" s="182"/>
      <c r="L343" s="21"/>
      <c r="M343" s="21"/>
      <c r="N343" s="21"/>
      <c r="O343" s="21"/>
      <c r="P343" s="21"/>
      <c r="Q343" s="21"/>
      <c r="R343" s="21"/>
    </row>
    <row r="344" spans="1:18" s="1" customFormat="1">
      <c r="A344" s="282"/>
      <c r="B344" s="21"/>
      <c r="C344" s="21"/>
      <c r="D344" s="141"/>
      <c r="E344" s="108"/>
      <c r="F344" s="22"/>
      <c r="G344" s="219"/>
      <c r="H344" s="165"/>
      <c r="I344" s="21"/>
      <c r="J344" s="21"/>
      <c r="K344" s="182"/>
      <c r="L344" s="21"/>
      <c r="M344" s="21"/>
      <c r="N344" s="21"/>
      <c r="O344" s="21"/>
      <c r="P344" s="21"/>
      <c r="Q344" s="21"/>
      <c r="R344" s="21"/>
    </row>
    <row r="345" spans="1:18" s="1" customFormat="1">
      <c r="A345" s="282"/>
      <c r="B345" s="21"/>
      <c r="C345" s="21"/>
      <c r="D345" s="141"/>
      <c r="E345" s="108"/>
      <c r="F345" s="22"/>
      <c r="G345" s="219"/>
      <c r="H345" s="165"/>
      <c r="I345" s="21"/>
      <c r="J345" s="21"/>
      <c r="K345" s="182"/>
      <c r="L345" s="21"/>
      <c r="M345" s="21"/>
      <c r="N345" s="21"/>
      <c r="O345" s="21"/>
      <c r="P345" s="21"/>
      <c r="Q345" s="21"/>
      <c r="R345" s="21"/>
    </row>
    <row r="346" spans="1:18" s="1" customFormat="1">
      <c r="A346" s="282"/>
      <c r="B346" s="21"/>
      <c r="C346" s="21"/>
      <c r="D346" s="141"/>
      <c r="E346" s="108"/>
      <c r="F346" s="22"/>
      <c r="G346" s="219"/>
      <c r="H346" s="165"/>
      <c r="I346" s="21"/>
      <c r="J346" s="21"/>
      <c r="K346" s="182"/>
      <c r="L346" s="21"/>
      <c r="M346" s="21"/>
      <c r="N346" s="21"/>
      <c r="O346" s="21"/>
      <c r="P346" s="21"/>
      <c r="Q346" s="21"/>
      <c r="R346" s="21"/>
    </row>
    <row r="347" spans="1:18" s="1" customFormat="1">
      <c r="A347" s="282"/>
      <c r="B347" s="21"/>
      <c r="C347" s="21"/>
      <c r="D347" s="141"/>
      <c r="E347" s="108"/>
      <c r="F347" s="22"/>
      <c r="G347" s="219"/>
      <c r="H347" s="165"/>
      <c r="I347" s="21"/>
      <c r="J347" s="21"/>
      <c r="K347" s="182"/>
      <c r="L347" s="21"/>
      <c r="M347" s="21"/>
      <c r="N347" s="21"/>
      <c r="O347" s="21"/>
      <c r="P347" s="21"/>
      <c r="Q347" s="21"/>
      <c r="R347" s="21"/>
    </row>
    <row r="348" spans="1:18" s="1" customFormat="1">
      <c r="A348" s="282"/>
      <c r="B348" s="21"/>
      <c r="C348" s="21"/>
      <c r="D348" s="141"/>
      <c r="E348" s="108"/>
      <c r="F348" s="22"/>
      <c r="G348" s="219"/>
      <c r="H348" s="165"/>
      <c r="I348" s="21"/>
      <c r="J348" s="21"/>
      <c r="K348" s="182"/>
      <c r="L348" s="21"/>
      <c r="M348" s="21"/>
      <c r="N348" s="21"/>
      <c r="O348" s="21"/>
      <c r="P348" s="21"/>
      <c r="Q348" s="21"/>
      <c r="R348" s="21"/>
    </row>
    <row r="349" spans="1:18" s="1" customFormat="1">
      <c r="A349" s="282"/>
      <c r="B349" s="21"/>
      <c r="C349" s="21"/>
      <c r="D349" s="141"/>
      <c r="E349" s="108"/>
      <c r="F349" s="22"/>
      <c r="G349" s="219"/>
      <c r="H349" s="165"/>
      <c r="I349" s="21"/>
      <c r="J349" s="21"/>
      <c r="K349" s="182"/>
      <c r="L349" s="21"/>
      <c r="M349" s="21"/>
      <c r="N349" s="21"/>
      <c r="O349" s="21"/>
      <c r="P349" s="21"/>
      <c r="Q349" s="21"/>
      <c r="R349" s="21"/>
    </row>
    <row r="350" spans="1:18" s="1" customFormat="1">
      <c r="A350" s="282"/>
      <c r="B350" s="21"/>
      <c r="C350" s="21"/>
      <c r="D350" s="141"/>
      <c r="E350" s="108"/>
      <c r="F350" s="22"/>
      <c r="G350" s="219"/>
      <c r="H350" s="165"/>
      <c r="I350" s="21"/>
      <c r="J350" s="21"/>
      <c r="K350" s="182"/>
      <c r="L350" s="21"/>
      <c r="M350" s="21"/>
      <c r="N350" s="21"/>
      <c r="O350" s="21"/>
      <c r="P350" s="21"/>
      <c r="Q350" s="21"/>
      <c r="R350" s="21"/>
    </row>
    <row r="351" spans="1:18" s="1" customFormat="1">
      <c r="A351" s="282"/>
      <c r="B351" s="21"/>
      <c r="C351" s="21"/>
      <c r="D351" s="141"/>
      <c r="E351" s="108"/>
      <c r="F351" s="22"/>
      <c r="G351" s="219"/>
      <c r="H351" s="165"/>
      <c r="I351" s="21"/>
      <c r="J351" s="21"/>
      <c r="K351" s="182"/>
      <c r="L351" s="21"/>
      <c r="M351" s="21"/>
      <c r="N351" s="21"/>
      <c r="O351" s="21"/>
      <c r="P351" s="21"/>
      <c r="Q351" s="21"/>
      <c r="R351" s="21"/>
    </row>
    <row r="352" spans="1:18" s="1" customFormat="1">
      <c r="A352" s="282"/>
      <c r="B352" s="21"/>
      <c r="C352" s="21"/>
      <c r="D352" s="141"/>
      <c r="E352" s="108"/>
      <c r="F352" s="22"/>
      <c r="G352" s="219"/>
      <c r="H352" s="165"/>
      <c r="I352" s="21"/>
      <c r="J352" s="21"/>
      <c r="K352" s="182"/>
      <c r="L352" s="21"/>
      <c r="M352" s="21"/>
      <c r="N352" s="21"/>
      <c r="O352" s="21"/>
      <c r="P352" s="21"/>
      <c r="Q352" s="21"/>
      <c r="R352" s="21"/>
    </row>
    <row r="353" spans="1:18" s="1" customFormat="1">
      <c r="A353" s="282"/>
      <c r="B353" s="21"/>
      <c r="C353" s="21"/>
      <c r="D353" s="141"/>
      <c r="E353" s="108"/>
      <c r="F353" s="22"/>
      <c r="G353" s="219"/>
      <c r="H353" s="165"/>
      <c r="I353" s="21"/>
      <c r="J353" s="21"/>
      <c r="K353" s="182"/>
      <c r="L353" s="21"/>
      <c r="M353" s="21"/>
      <c r="N353" s="21"/>
      <c r="O353" s="21"/>
      <c r="P353" s="21"/>
      <c r="Q353" s="21"/>
      <c r="R353" s="21"/>
    </row>
    <row r="354" spans="1:18" s="1" customFormat="1">
      <c r="A354" s="282"/>
      <c r="B354" s="21"/>
      <c r="C354" s="21"/>
      <c r="D354" s="141"/>
      <c r="E354" s="108"/>
      <c r="F354" s="22"/>
      <c r="G354" s="219"/>
      <c r="H354" s="165"/>
      <c r="I354" s="21"/>
      <c r="J354" s="21"/>
      <c r="K354" s="182"/>
      <c r="L354" s="21"/>
      <c r="M354" s="21"/>
      <c r="N354" s="21"/>
      <c r="O354" s="21"/>
      <c r="P354" s="21"/>
      <c r="Q354" s="21"/>
      <c r="R354" s="21"/>
    </row>
    <row r="355" spans="1:18" s="1" customFormat="1">
      <c r="A355" s="282"/>
      <c r="B355" s="21"/>
      <c r="C355" s="21"/>
      <c r="D355" s="141"/>
      <c r="E355" s="108"/>
      <c r="F355" s="22"/>
      <c r="G355" s="219"/>
      <c r="H355" s="165"/>
      <c r="I355" s="21"/>
      <c r="J355" s="21"/>
      <c r="K355" s="182"/>
      <c r="L355" s="21"/>
      <c r="M355" s="21"/>
      <c r="N355" s="21"/>
      <c r="O355" s="21"/>
      <c r="P355" s="21"/>
      <c r="Q355" s="21"/>
      <c r="R355" s="21"/>
    </row>
    <row r="356" spans="1:18" s="1" customFormat="1">
      <c r="A356" s="282"/>
      <c r="B356" s="21"/>
      <c r="C356" s="21"/>
      <c r="D356" s="141"/>
      <c r="E356" s="108"/>
      <c r="F356" s="22"/>
      <c r="G356" s="219"/>
      <c r="H356" s="165"/>
      <c r="I356" s="21"/>
      <c r="J356" s="21"/>
      <c r="K356" s="182"/>
      <c r="L356" s="21"/>
      <c r="M356" s="21"/>
      <c r="N356" s="21"/>
      <c r="O356" s="21"/>
      <c r="P356" s="21"/>
      <c r="Q356" s="21"/>
      <c r="R356" s="21"/>
    </row>
    <row r="357" spans="1:18" s="1" customFormat="1">
      <c r="A357" s="282"/>
      <c r="B357" s="21"/>
      <c r="C357" s="21"/>
      <c r="D357" s="141"/>
      <c r="E357" s="108"/>
      <c r="F357" s="22"/>
      <c r="G357" s="219"/>
      <c r="H357" s="165"/>
      <c r="I357" s="21"/>
      <c r="J357" s="21"/>
      <c r="K357" s="182"/>
      <c r="L357" s="21"/>
      <c r="M357" s="21"/>
      <c r="N357" s="21"/>
      <c r="O357" s="21"/>
      <c r="P357" s="21"/>
      <c r="Q357" s="21"/>
      <c r="R357" s="21"/>
    </row>
    <row r="358" spans="1:18" s="1" customFormat="1">
      <c r="A358" s="282"/>
      <c r="B358" s="21"/>
      <c r="C358" s="21"/>
      <c r="D358" s="141"/>
      <c r="E358" s="108"/>
      <c r="F358" s="22"/>
      <c r="G358" s="219"/>
      <c r="H358" s="165"/>
      <c r="I358" s="21"/>
      <c r="J358" s="21"/>
      <c r="K358" s="182"/>
      <c r="L358" s="21"/>
      <c r="M358" s="21"/>
      <c r="N358" s="21"/>
      <c r="O358" s="21"/>
      <c r="P358" s="21"/>
      <c r="Q358" s="21"/>
      <c r="R358" s="21"/>
    </row>
    <row r="359" spans="1:18" s="1" customFormat="1">
      <c r="A359" s="282"/>
      <c r="B359" s="21"/>
      <c r="C359" s="21"/>
      <c r="D359" s="141"/>
      <c r="E359" s="108"/>
      <c r="F359" s="22"/>
      <c r="G359" s="219"/>
      <c r="H359" s="165"/>
      <c r="I359" s="21"/>
      <c r="J359" s="21"/>
      <c r="K359" s="182"/>
      <c r="L359" s="21"/>
      <c r="M359" s="21"/>
      <c r="N359" s="21"/>
      <c r="O359" s="21"/>
      <c r="P359" s="21"/>
      <c r="Q359" s="21"/>
      <c r="R359" s="21"/>
    </row>
    <row r="360" spans="1:18" s="1" customFormat="1">
      <c r="A360" s="282"/>
      <c r="B360" s="21"/>
      <c r="C360" s="21"/>
      <c r="D360" s="141"/>
      <c r="E360" s="108"/>
      <c r="F360" s="22"/>
      <c r="G360" s="219"/>
      <c r="H360" s="165"/>
      <c r="I360" s="21"/>
      <c r="J360" s="21"/>
      <c r="K360" s="182"/>
      <c r="L360" s="21"/>
      <c r="M360" s="21"/>
      <c r="N360" s="21"/>
      <c r="O360" s="21"/>
      <c r="P360" s="21"/>
      <c r="Q360" s="21"/>
      <c r="R360" s="21"/>
    </row>
    <row r="361" spans="1:18" s="1" customFormat="1">
      <c r="A361" s="282"/>
      <c r="B361" s="21"/>
      <c r="C361" s="21"/>
      <c r="D361" s="141"/>
      <c r="E361" s="108"/>
      <c r="F361" s="22"/>
      <c r="G361" s="219"/>
      <c r="H361" s="165"/>
      <c r="I361" s="21"/>
      <c r="J361" s="21"/>
      <c r="K361" s="182"/>
      <c r="L361" s="21"/>
      <c r="M361" s="21"/>
      <c r="N361" s="21"/>
      <c r="O361" s="21"/>
      <c r="P361" s="21"/>
      <c r="Q361" s="21"/>
      <c r="R361" s="21"/>
    </row>
    <row r="362" spans="1:18" s="1" customFormat="1">
      <c r="A362" s="282"/>
      <c r="B362" s="21"/>
      <c r="C362" s="21"/>
      <c r="D362" s="141"/>
      <c r="E362" s="108"/>
      <c r="F362" s="22"/>
      <c r="G362" s="219"/>
      <c r="H362" s="165"/>
      <c r="I362" s="21"/>
      <c r="J362" s="21"/>
      <c r="K362" s="182"/>
      <c r="L362" s="21"/>
      <c r="M362" s="21"/>
      <c r="N362" s="21"/>
      <c r="O362" s="21"/>
      <c r="P362" s="21"/>
      <c r="Q362" s="21"/>
      <c r="R362" s="21"/>
    </row>
    <row r="363" spans="1:18" s="1" customFormat="1">
      <c r="A363" s="282"/>
      <c r="B363" s="21"/>
      <c r="C363" s="21"/>
      <c r="D363" s="141"/>
      <c r="E363" s="108"/>
      <c r="F363" s="22"/>
      <c r="G363" s="219"/>
      <c r="H363" s="165"/>
      <c r="I363" s="21"/>
      <c r="J363" s="21"/>
      <c r="K363" s="182"/>
      <c r="L363" s="21"/>
      <c r="M363" s="21"/>
      <c r="N363" s="21"/>
      <c r="O363" s="21"/>
      <c r="P363" s="21"/>
      <c r="Q363" s="21"/>
      <c r="R363" s="21"/>
    </row>
    <row r="364" spans="1:18" s="1" customFormat="1">
      <c r="A364" s="282"/>
      <c r="B364" s="21"/>
      <c r="C364" s="21"/>
      <c r="D364" s="141"/>
      <c r="E364" s="108"/>
      <c r="F364" s="22"/>
      <c r="G364" s="219"/>
      <c r="H364" s="165"/>
      <c r="I364" s="21"/>
      <c r="J364" s="21"/>
      <c r="K364" s="182"/>
      <c r="L364" s="21"/>
      <c r="M364" s="21"/>
      <c r="N364" s="21"/>
      <c r="O364" s="21"/>
      <c r="P364" s="21"/>
      <c r="Q364" s="21"/>
      <c r="R364" s="21"/>
    </row>
    <row r="365" spans="1:18" s="1" customFormat="1">
      <c r="A365" s="282"/>
      <c r="B365" s="21"/>
      <c r="C365" s="21"/>
      <c r="D365" s="141"/>
      <c r="E365" s="108"/>
      <c r="F365" s="22"/>
      <c r="G365" s="219"/>
      <c r="H365" s="165"/>
      <c r="I365" s="21"/>
      <c r="J365" s="21"/>
      <c r="K365" s="182"/>
      <c r="L365" s="21"/>
      <c r="M365" s="21"/>
      <c r="N365" s="21"/>
      <c r="O365" s="21"/>
      <c r="P365" s="21"/>
      <c r="Q365" s="21"/>
      <c r="R365" s="21"/>
    </row>
    <row r="366" spans="1:18" s="1" customFormat="1">
      <c r="A366" s="282"/>
      <c r="B366" s="21"/>
      <c r="C366" s="21"/>
      <c r="D366" s="141"/>
      <c r="E366" s="108"/>
      <c r="F366" s="22"/>
      <c r="G366" s="219"/>
      <c r="H366" s="165"/>
      <c r="I366" s="21"/>
      <c r="J366" s="21"/>
      <c r="K366" s="182"/>
      <c r="L366" s="21"/>
      <c r="M366" s="21"/>
      <c r="N366" s="21"/>
      <c r="O366" s="21"/>
      <c r="P366" s="21"/>
      <c r="Q366" s="21"/>
      <c r="R366" s="21"/>
    </row>
    <row r="367" spans="1:18" s="1" customFormat="1">
      <c r="A367" s="282"/>
      <c r="B367" s="21"/>
      <c r="C367" s="21"/>
      <c r="D367" s="141"/>
      <c r="E367" s="108"/>
      <c r="F367" s="22"/>
      <c r="G367" s="219"/>
      <c r="H367" s="165"/>
      <c r="I367" s="21"/>
      <c r="J367" s="21"/>
      <c r="K367" s="182"/>
      <c r="L367" s="21"/>
      <c r="M367" s="21"/>
      <c r="N367" s="21"/>
      <c r="O367" s="21"/>
      <c r="P367" s="21"/>
      <c r="Q367" s="21"/>
      <c r="R367" s="21"/>
    </row>
    <row r="368" spans="1:18" s="1" customFormat="1">
      <c r="A368" s="282"/>
      <c r="B368" s="21"/>
      <c r="C368" s="21"/>
      <c r="D368" s="141"/>
      <c r="E368" s="108"/>
      <c r="F368" s="22"/>
      <c r="G368" s="219"/>
      <c r="H368" s="165"/>
      <c r="I368" s="21"/>
      <c r="J368" s="21"/>
      <c r="K368" s="182"/>
      <c r="L368" s="21"/>
      <c r="M368" s="21"/>
      <c r="N368" s="21"/>
      <c r="O368" s="21"/>
      <c r="P368" s="21"/>
      <c r="Q368" s="21"/>
      <c r="R368" s="21"/>
    </row>
    <row r="369" spans="1:18" s="1" customFormat="1">
      <c r="A369" s="282"/>
      <c r="B369" s="21"/>
      <c r="C369" s="21"/>
      <c r="D369" s="141"/>
      <c r="E369" s="108"/>
      <c r="F369" s="22"/>
      <c r="G369" s="219"/>
      <c r="H369" s="165"/>
      <c r="I369" s="21"/>
      <c r="J369" s="21"/>
      <c r="K369" s="182"/>
      <c r="L369" s="21"/>
      <c r="M369" s="21"/>
      <c r="N369" s="21"/>
      <c r="O369" s="21"/>
      <c r="P369" s="21"/>
      <c r="Q369" s="21"/>
      <c r="R369" s="21"/>
    </row>
    <row r="370" spans="1:18" s="1" customFormat="1">
      <c r="A370" s="282"/>
      <c r="B370" s="21"/>
      <c r="C370" s="21"/>
      <c r="D370" s="141"/>
      <c r="E370" s="108"/>
      <c r="F370" s="22"/>
      <c r="G370" s="219"/>
      <c r="H370" s="165"/>
      <c r="I370" s="21"/>
      <c r="J370" s="21"/>
      <c r="K370" s="182"/>
      <c r="L370" s="21"/>
      <c r="M370" s="21"/>
      <c r="N370" s="21"/>
      <c r="O370" s="21"/>
      <c r="P370" s="21"/>
      <c r="Q370" s="21"/>
      <c r="R370" s="21"/>
    </row>
    <row r="371" spans="1:18" s="1" customFormat="1">
      <c r="A371" s="282"/>
      <c r="B371" s="21"/>
      <c r="C371" s="21"/>
      <c r="D371" s="141"/>
      <c r="E371" s="108"/>
      <c r="F371" s="22"/>
      <c r="G371" s="219"/>
      <c r="H371" s="165"/>
      <c r="I371" s="21"/>
      <c r="J371" s="21"/>
      <c r="K371" s="182"/>
      <c r="L371" s="21"/>
      <c r="M371" s="21"/>
      <c r="N371" s="21"/>
      <c r="O371" s="21"/>
      <c r="P371" s="21"/>
      <c r="Q371" s="21"/>
      <c r="R371" s="21"/>
    </row>
    <row r="372" spans="1:18" s="1" customFormat="1">
      <c r="A372" s="282"/>
      <c r="B372" s="21"/>
      <c r="C372" s="21"/>
      <c r="D372" s="141"/>
      <c r="E372" s="108"/>
      <c r="F372" s="22"/>
      <c r="G372" s="219"/>
      <c r="H372" s="165"/>
      <c r="I372" s="21"/>
      <c r="J372" s="21"/>
      <c r="K372" s="182"/>
      <c r="L372" s="21"/>
      <c r="M372" s="21"/>
      <c r="N372" s="21"/>
      <c r="O372" s="21"/>
      <c r="P372" s="21"/>
      <c r="Q372" s="21"/>
      <c r="R372" s="21"/>
    </row>
    <row r="373" spans="1:18" s="1" customFormat="1">
      <c r="A373" s="282"/>
      <c r="B373" s="21"/>
      <c r="C373" s="21"/>
      <c r="D373" s="141"/>
      <c r="E373" s="108"/>
      <c r="F373" s="22"/>
      <c r="G373" s="219"/>
      <c r="H373" s="165"/>
      <c r="I373" s="21"/>
      <c r="J373" s="21"/>
      <c r="K373" s="182"/>
      <c r="L373" s="21"/>
      <c r="M373" s="21"/>
      <c r="N373" s="21"/>
      <c r="O373" s="21"/>
      <c r="P373" s="21"/>
      <c r="Q373" s="21"/>
      <c r="R373" s="21"/>
    </row>
    <row r="374" spans="1:18" s="1" customFormat="1">
      <c r="A374" s="282"/>
      <c r="B374" s="21"/>
      <c r="C374" s="21"/>
      <c r="D374" s="141"/>
      <c r="E374" s="108"/>
      <c r="F374" s="22"/>
      <c r="G374" s="219"/>
      <c r="H374" s="165"/>
      <c r="I374" s="21"/>
      <c r="J374" s="21"/>
      <c r="K374" s="182"/>
      <c r="L374" s="21"/>
      <c r="M374" s="21"/>
      <c r="N374" s="21"/>
      <c r="O374" s="21"/>
      <c r="P374" s="21"/>
      <c r="Q374" s="21"/>
      <c r="R374" s="21"/>
    </row>
    <row r="375" spans="1:18" s="1" customFormat="1">
      <c r="A375" s="282"/>
      <c r="B375" s="21"/>
      <c r="C375" s="21"/>
      <c r="D375" s="141"/>
      <c r="E375" s="108"/>
      <c r="F375" s="22"/>
      <c r="G375" s="219"/>
      <c r="H375" s="165"/>
      <c r="I375" s="21"/>
      <c r="J375" s="21"/>
      <c r="K375" s="182"/>
      <c r="L375" s="21"/>
      <c r="M375" s="21"/>
      <c r="N375" s="21"/>
      <c r="O375" s="21"/>
      <c r="P375" s="21"/>
      <c r="Q375" s="21"/>
      <c r="R375" s="21"/>
    </row>
    <row r="376" spans="1:18" s="1" customFormat="1">
      <c r="A376" s="282"/>
      <c r="B376" s="21"/>
      <c r="C376" s="21"/>
      <c r="D376" s="141"/>
      <c r="E376" s="108"/>
      <c r="F376" s="22"/>
      <c r="G376" s="219"/>
      <c r="H376" s="165"/>
      <c r="I376" s="21"/>
      <c r="J376" s="21"/>
      <c r="K376" s="182"/>
      <c r="L376" s="21"/>
      <c r="M376" s="21"/>
      <c r="N376" s="21"/>
      <c r="O376" s="21"/>
      <c r="P376" s="21"/>
      <c r="Q376" s="21"/>
      <c r="R376" s="21"/>
    </row>
    <row r="377" spans="1:18" s="1" customFormat="1">
      <c r="A377" s="282"/>
      <c r="B377" s="21"/>
      <c r="C377" s="21"/>
      <c r="D377" s="141"/>
      <c r="E377" s="108"/>
      <c r="F377" s="22"/>
      <c r="G377" s="219"/>
      <c r="H377" s="165"/>
      <c r="I377" s="21"/>
      <c r="J377" s="21"/>
      <c r="K377" s="182"/>
      <c r="L377" s="21"/>
      <c r="M377" s="21"/>
      <c r="N377" s="21"/>
      <c r="O377" s="21"/>
      <c r="P377" s="21"/>
      <c r="Q377" s="21"/>
      <c r="R377" s="21"/>
    </row>
    <row r="378" spans="1:18" s="1" customFormat="1">
      <c r="A378" s="282"/>
      <c r="B378" s="21"/>
      <c r="C378" s="21"/>
      <c r="D378" s="141"/>
      <c r="E378" s="108"/>
      <c r="F378" s="22"/>
      <c r="G378" s="219"/>
      <c r="H378" s="165"/>
      <c r="I378" s="21"/>
      <c r="J378" s="21"/>
      <c r="K378" s="182"/>
      <c r="L378" s="21"/>
      <c r="M378" s="21"/>
      <c r="N378" s="21"/>
      <c r="O378" s="21"/>
      <c r="P378" s="21"/>
      <c r="Q378" s="21"/>
      <c r="R378" s="21"/>
    </row>
    <row r="379" spans="1:18" s="1" customFormat="1">
      <c r="A379" s="282"/>
      <c r="B379" s="21"/>
      <c r="C379" s="21"/>
      <c r="D379" s="141"/>
      <c r="E379" s="108"/>
      <c r="F379" s="22"/>
      <c r="G379" s="219"/>
      <c r="H379" s="165"/>
      <c r="I379" s="21"/>
      <c r="J379" s="21"/>
      <c r="K379" s="182"/>
      <c r="L379" s="21"/>
      <c r="M379" s="21"/>
      <c r="N379" s="21"/>
      <c r="O379" s="21"/>
      <c r="P379" s="21"/>
      <c r="Q379" s="21"/>
      <c r="R379" s="21"/>
    </row>
    <row r="380" spans="1:18" s="1" customFormat="1">
      <c r="A380" s="282"/>
      <c r="B380" s="21"/>
      <c r="C380" s="21"/>
      <c r="D380" s="141"/>
      <c r="E380" s="108"/>
      <c r="F380" s="22"/>
      <c r="G380" s="219"/>
      <c r="H380" s="165"/>
      <c r="I380" s="21"/>
      <c r="J380" s="21"/>
      <c r="K380" s="182"/>
      <c r="L380" s="21"/>
      <c r="M380" s="21"/>
      <c r="N380" s="21"/>
      <c r="O380" s="21"/>
      <c r="P380" s="21"/>
      <c r="Q380" s="21"/>
      <c r="R380" s="21"/>
    </row>
    <row r="381" spans="1:18" s="1" customFormat="1">
      <c r="A381" s="282"/>
      <c r="B381" s="21"/>
      <c r="C381" s="21"/>
      <c r="D381" s="141"/>
      <c r="E381" s="108"/>
      <c r="F381" s="22"/>
      <c r="G381" s="219"/>
      <c r="H381" s="165"/>
      <c r="I381" s="21"/>
      <c r="J381" s="21"/>
      <c r="K381" s="182"/>
      <c r="L381" s="21"/>
      <c r="M381" s="21"/>
      <c r="N381" s="21"/>
      <c r="O381" s="21"/>
      <c r="P381" s="21"/>
      <c r="Q381" s="21"/>
      <c r="R381" s="21"/>
    </row>
    <row r="382" spans="1:18" s="1" customFormat="1">
      <c r="A382" s="282"/>
      <c r="B382" s="21"/>
      <c r="C382" s="21"/>
      <c r="D382" s="141"/>
      <c r="E382" s="108"/>
      <c r="F382" s="22"/>
      <c r="G382" s="219"/>
      <c r="H382" s="165"/>
      <c r="I382" s="21"/>
      <c r="J382" s="21"/>
      <c r="K382" s="182"/>
      <c r="L382" s="21"/>
      <c r="M382" s="21"/>
      <c r="N382" s="21"/>
      <c r="O382" s="21"/>
      <c r="P382" s="21"/>
      <c r="Q382" s="21"/>
      <c r="R382" s="21"/>
    </row>
    <row r="383" spans="1:18" s="1" customFormat="1">
      <c r="A383" s="282"/>
      <c r="B383" s="21"/>
      <c r="C383" s="21"/>
      <c r="D383" s="141"/>
      <c r="E383" s="108"/>
      <c r="F383" s="22"/>
      <c r="G383" s="219"/>
      <c r="H383" s="165"/>
      <c r="I383" s="21"/>
      <c r="J383" s="21"/>
      <c r="K383" s="182"/>
      <c r="L383" s="21"/>
      <c r="M383" s="21"/>
      <c r="N383" s="21"/>
      <c r="O383" s="21"/>
      <c r="P383" s="21"/>
      <c r="Q383" s="21"/>
      <c r="R383" s="21"/>
    </row>
    <row r="384" spans="1:18" s="1" customFormat="1">
      <c r="A384" s="282"/>
      <c r="B384" s="21"/>
      <c r="C384" s="21"/>
      <c r="D384" s="141"/>
      <c r="E384" s="108"/>
      <c r="F384" s="22"/>
      <c r="G384" s="219"/>
      <c r="H384" s="165"/>
      <c r="I384" s="21"/>
      <c r="J384" s="21"/>
      <c r="K384" s="182"/>
      <c r="L384" s="21"/>
      <c r="M384" s="21"/>
      <c r="N384" s="21"/>
      <c r="O384" s="21"/>
      <c r="P384" s="21"/>
      <c r="Q384" s="21"/>
      <c r="R384" s="21"/>
    </row>
    <row r="385" spans="1:18" s="1" customFormat="1">
      <c r="A385" s="282"/>
      <c r="B385" s="21"/>
      <c r="C385" s="21"/>
      <c r="D385" s="141"/>
      <c r="E385" s="108"/>
      <c r="F385" s="22"/>
      <c r="G385" s="219"/>
      <c r="H385" s="165"/>
      <c r="I385" s="21"/>
      <c r="J385" s="21"/>
      <c r="K385" s="182"/>
      <c r="L385" s="21"/>
      <c r="M385" s="21"/>
      <c r="N385" s="21"/>
      <c r="O385" s="21"/>
      <c r="P385" s="21"/>
      <c r="Q385" s="21"/>
      <c r="R385" s="21"/>
    </row>
    <row r="386" spans="1:18" s="1" customFormat="1">
      <c r="A386" s="282"/>
      <c r="B386" s="21"/>
      <c r="C386" s="21"/>
      <c r="D386" s="141"/>
      <c r="E386" s="108"/>
      <c r="F386" s="22"/>
      <c r="G386" s="219"/>
      <c r="H386" s="165"/>
      <c r="I386" s="21"/>
      <c r="J386" s="21"/>
      <c r="K386" s="182"/>
      <c r="L386" s="21"/>
      <c r="M386" s="21"/>
      <c r="N386" s="21"/>
      <c r="O386" s="21"/>
      <c r="P386" s="21"/>
      <c r="Q386" s="21"/>
      <c r="R386" s="21"/>
    </row>
    <row r="387" spans="1:18" s="1" customFormat="1">
      <c r="A387" s="282"/>
      <c r="B387" s="21"/>
      <c r="C387" s="21"/>
      <c r="D387" s="141"/>
      <c r="E387" s="108"/>
      <c r="F387" s="22"/>
      <c r="G387" s="219"/>
      <c r="H387" s="165"/>
      <c r="I387" s="21"/>
      <c r="J387" s="21"/>
      <c r="K387" s="182"/>
      <c r="L387" s="21"/>
      <c r="M387" s="21"/>
      <c r="N387" s="21"/>
      <c r="O387" s="21"/>
      <c r="P387" s="21"/>
      <c r="Q387" s="21"/>
      <c r="R387" s="21"/>
    </row>
    <row r="388" spans="1:18" s="1" customFormat="1">
      <c r="A388" s="282"/>
      <c r="B388" s="21"/>
      <c r="C388" s="21"/>
      <c r="D388" s="141"/>
      <c r="E388" s="108"/>
      <c r="F388" s="22"/>
      <c r="G388" s="219"/>
      <c r="H388" s="165"/>
      <c r="I388" s="21"/>
      <c r="J388" s="21"/>
      <c r="K388" s="182"/>
      <c r="L388" s="21"/>
      <c r="M388" s="21"/>
      <c r="N388" s="21"/>
      <c r="O388" s="21"/>
      <c r="P388" s="21"/>
      <c r="Q388" s="21"/>
      <c r="R388" s="21"/>
    </row>
    <row r="389" spans="1:18" s="1" customFormat="1">
      <c r="A389" s="282"/>
      <c r="B389" s="21"/>
      <c r="C389" s="21"/>
      <c r="D389" s="141"/>
      <c r="E389" s="108"/>
      <c r="F389" s="22"/>
      <c r="G389" s="219"/>
      <c r="H389" s="165"/>
      <c r="I389" s="21"/>
      <c r="J389" s="21"/>
      <c r="K389" s="182"/>
      <c r="L389" s="21"/>
      <c r="M389" s="21"/>
      <c r="N389" s="21"/>
      <c r="O389" s="21"/>
      <c r="P389" s="21"/>
      <c r="Q389" s="21"/>
      <c r="R389" s="21"/>
    </row>
    <row r="390" spans="1:18" s="1" customFormat="1">
      <c r="A390" s="282"/>
      <c r="B390" s="21"/>
      <c r="C390" s="21"/>
      <c r="D390" s="141"/>
      <c r="E390" s="108"/>
      <c r="F390" s="22"/>
      <c r="G390" s="219"/>
      <c r="H390" s="165"/>
      <c r="I390" s="21"/>
      <c r="J390" s="21"/>
      <c r="K390" s="182"/>
      <c r="L390" s="21"/>
      <c r="M390" s="21"/>
      <c r="N390" s="21"/>
      <c r="O390" s="21"/>
      <c r="P390" s="21"/>
      <c r="Q390" s="21"/>
      <c r="R390" s="21"/>
    </row>
    <row r="391" spans="1:18" s="1" customFormat="1">
      <c r="A391" s="282"/>
      <c r="B391" s="21"/>
      <c r="C391" s="21"/>
      <c r="D391" s="141"/>
      <c r="E391" s="108"/>
      <c r="F391" s="22"/>
      <c r="G391" s="219"/>
      <c r="H391" s="165"/>
      <c r="I391" s="21"/>
      <c r="J391" s="21"/>
      <c r="K391" s="182"/>
      <c r="L391" s="21"/>
      <c r="M391" s="21"/>
      <c r="N391" s="21"/>
      <c r="O391" s="21"/>
      <c r="P391" s="21"/>
      <c r="Q391" s="21"/>
      <c r="R391" s="21"/>
    </row>
    <row r="392" spans="1:18" s="1" customFormat="1">
      <c r="A392" s="282"/>
      <c r="B392" s="21"/>
      <c r="C392" s="21"/>
      <c r="D392" s="141"/>
      <c r="E392" s="108"/>
      <c r="F392" s="22"/>
      <c r="G392" s="219"/>
      <c r="H392" s="165"/>
      <c r="I392" s="21"/>
      <c r="J392" s="21"/>
      <c r="K392" s="182"/>
      <c r="L392" s="21"/>
      <c r="M392" s="21"/>
      <c r="N392" s="21"/>
      <c r="O392" s="21"/>
      <c r="P392" s="21"/>
      <c r="Q392" s="21"/>
      <c r="R392" s="21"/>
    </row>
    <row r="393" spans="1:18" s="1" customFormat="1">
      <c r="A393" s="282"/>
      <c r="B393" s="21"/>
      <c r="C393" s="21"/>
      <c r="D393" s="141"/>
      <c r="E393" s="108"/>
      <c r="F393" s="22"/>
      <c r="G393" s="219"/>
      <c r="H393" s="165"/>
      <c r="I393" s="21"/>
      <c r="J393" s="21"/>
      <c r="K393" s="182"/>
      <c r="L393" s="21"/>
      <c r="M393" s="21"/>
      <c r="N393" s="21"/>
      <c r="O393" s="21"/>
      <c r="P393" s="21"/>
      <c r="Q393" s="21"/>
      <c r="R393" s="21"/>
    </row>
    <row r="394" spans="1:18" s="1" customFormat="1">
      <c r="A394" s="282"/>
      <c r="B394" s="21"/>
      <c r="C394" s="21"/>
      <c r="D394" s="141"/>
      <c r="E394" s="108"/>
      <c r="F394" s="22"/>
      <c r="G394" s="219"/>
      <c r="H394" s="165"/>
      <c r="I394" s="21"/>
      <c r="J394" s="21"/>
      <c r="K394" s="182"/>
      <c r="L394" s="21"/>
      <c r="M394" s="21"/>
      <c r="N394" s="21"/>
      <c r="O394" s="21"/>
      <c r="P394" s="21"/>
      <c r="Q394" s="21"/>
      <c r="R394" s="21"/>
    </row>
    <row r="395" spans="1:18" s="1" customFormat="1">
      <c r="A395" s="282"/>
      <c r="B395" s="21"/>
      <c r="C395" s="21"/>
      <c r="D395" s="141"/>
      <c r="E395" s="108"/>
      <c r="F395" s="22"/>
      <c r="G395" s="219"/>
      <c r="H395" s="165"/>
      <c r="I395" s="21"/>
      <c r="J395" s="21"/>
      <c r="K395" s="182"/>
      <c r="L395" s="21"/>
      <c r="M395" s="21"/>
      <c r="N395" s="21"/>
      <c r="O395" s="21"/>
      <c r="P395" s="21"/>
      <c r="Q395" s="21"/>
      <c r="R395" s="21"/>
    </row>
    <row r="396" spans="1:18" s="1" customFormat="1">
      <c r="A396" s="282"/>
      <c r="B396" s="21"/>
      <c r="C396" s="21"/>
      <c r="D396" s="141"/>
      <c r="E396" s="108"/>
      <c r="F396" s="22"/>
      <c r="G396" s="219"/>
      <c r="H396" s="165"/>
      <c r="I396" s="21"/>
      <c r="J396" s="21"/>
      <c r="K396" s="182"/>
      <c r="L396" s="21"/>
      <c r="M396" s="21"/>
      <c r="N396" s="21"/>
      <c r="O396" s="21"/>
      <c r="P396" s="21"/>
      <c r="Q396" s="21"/>
      <c r="R396" s="21"/>
    </row>
    <row r="397" spans="1:18" s="1" customFormat="1">
      <c r="A397" s="282"/>
      <c r="B397" s="21"/>
      <c r="C397" s="21"/>
      <c r="D397" s="141"/>
      <c r="E397" s="108"/>
      <c r="F397" s="22"/>
      <c r="G397" s="219"/>
      <c r="H397" s="165"/>
      <c r="I397" s="21"/>
      <c r="J397" s="21"/>
      <c r="K397" s="182"/>
      <c r="L397" s="21"/>
      <c r="M397" s="21"/>
      <c r="N397" s="21"/>
      <c r="O397" s="21"/>
      <c r="P397" s="21"/>
      <c r="Q397" s="21"/>
      <c r="R397" s="21"/>
    </row>
    <row r="398" spans="1:18" s="1" customFormat="1">
      <c r="A398" s="282"/>
      <c r="B398" s="21"/>
      <c r="C398" s="21"/>
      <c r="D398" s="141"/>
      <c r="E398" s="108"/>
      <c r="F398" s="22"/>
      <c r="G398" s="219"/>
      <c r="H398" s="165"/>
      <c r="I398" s="21"/>
      <c r="J398" s="21"/>
      <c r="K398" s="182"/>
      <c r="L398" s="21"/>
      <c r="M398" s="21"/>
      <c r="N398" s="21"/>
      <c r="O398" s="21"/>
      <c r="P398" s="21"/>
      <c r="Q398" s="21"/>
      <c r="R398" s="21"/>
    </row>
    <row r="399" spans="1:18" s="1" customFormat="1">
      <c r="A399" s="282"/>
      <c r="B399" s="21"/>
      <c r="C399" s="21"/>
      <c r="D399" s="141"/>
      <c r="E399" s="108"/>
      <c r="F399" s="22"/>
      <c r="G399" s="219"/>
      <c r="H399" s="165"/>
      <c r="I399" s="21"/>
      <c r="J399" s="21"/>
      <c r="K399" s="182"/>
      <c r="L399" s="21"/>
      <c r="M399" s="21"/>
      <c r="N399" s="21"/>
      <c r="O399" s="21"/>
      <c r="P399" s="21"/>
      <c r="Q399" s="21"/>
      <c r="R399" s="21"/>
    </row>
    <row r="400" spans="1:18" s="1" customFormat="1">
      <c r="A400" s="282"/>
      <c r="B400" s="21"/>
      <c r="C400" s="21"/>
      <c r="D400" s="141"/>
      <c r="E400" s="108"/>
      <c r="F400" s="22"/>
      <c r="G400" s="219"/>
      <c r="H400" s="165"/>
      <c r="I400" s="21"/>
      <c r="J400" s="21"/>
      <c r="K400" s="182"/>
      <c r="L400" s="21"/>
      <c r="M400" s="21"/>
      <c r="N400" s="21"/>
      <c r="O400" s="21"/>
      <c r="P400" s="21"/>
      <c r="Q400" s="21"/>
      <c r="R400" s="21"/>
    </row>
    <row r="401" spans="1:18" s="1" customFormat="1">
      <c r="A401" s="282"/>
      <c r="B401" s="21"/>
      <c r="C401" s="21"/>
      <c r="D401" s="141"/>
      <c r="E401" s="108"/>
      <c r="F401" s="22"/>
      <c r="G401" s="219"/>
      <c r="H401" s="165"/>
      <c r="I401" s="21"/>
      <c r="J401" s="21"/>
      <c r="K401" s="182"/>
      <c r="L401" s="21"/>
      <c r="M401" s="21"/>
      <c r="N401" s="21"/>
      <c r="O401" s="21"/>
      <c r="P401" s="21"/>
      <c r="Q401" s="21"/>
      <c r="R401" s="21"/>
    </row>
    <row r="402" spans="1:18" s="1" customFormat="1">
      <c r="A402" s="282"/>
      <c r="B402" s="21"/>
      <c r="C402" s="21"/>
      <c r="D402" s="141"/>
      <c r="E402" s="108"/>
      <c r="F402" s="22"/>
      <c r="G402" s="219"/>
      <c r="H402" s="165"/>
      <c r="I402" s="21"/>
      <c r="J402" s="21"/>
      <c r="K402" s="182"/>
      <c r="L402" s="21"/>
      <c r="M402" s="21"/>
      <c r="N402" s="21"/>
      <c r="O402" s="21"/>
      <c r="P402" s="21"/>
      <c r="Q402" s="21"/>
      <c r="R402" s="21"/>
    </row>
    <row r="403" spans="1:18" s="1" customFormat="1">
      <c r="A403" s="282"/>
      <c r="B403" s="21"/>
      <c r="C403" s="21"/>
      <c r="D403" s="141"/>
      <c r="E403" s="108"/>
      <c r="F403" s="22"/>
      <c r="G403" s="219"/>
      <c r="H403" s="165"/>
      <c r="I403" s="21"/>
      <c r="J403" s="21"/>
      <c r="K403" s="182"/>
      <c r="L403" s="21"/>
      <c r="M403" s="21"/>
      <c r="N403" s="21"/>
      <c r="O403" s="21"/>
      <c r="P403" s="21"/>
      <c r="Q403" s="21"/>
      <c r="R403" s="21"/>
    </row>
    <row r="404" spans="1:18" s="1" customFormat="1">
      <c r="A404" s="282"/>
      <c r="B404" s="21"/>
      <c r="C404" s="21"/>
      <c r="D404" s="141"/>
      <c r="E404" s="108"/>
      <c r="F404" s="22"/>
      <c r="G404" s="219"/>
      <c r="H404" s="165"/>
      <c r="I404" s="21"/>
      <c r="J404" s="21"/>
      <c r="K404" s="182"/>
      <c r="L404" s="21"/>
      <c r="M404" s="21"/>
      <c r="N404" s="21"/>
      <c r="O404" s="21"/>
      <c r="P404" s="21"/>
      <c r="Q404" s="21"/>
      <c r="R404" s="21"/>
    </row>
    <row r="405" spans="1:18" s="1" customFormat="1">
      <c r="A405" s="282"/>
      <c r="B405" s="21"/>
      <c r="C405" s="21"/>
      <c r="D405" s="141"/>
      <c r="E405" s="108"/>
      <c r="F405" s="22"/>
      <c r="G405" s="219"/>
      <c r="H405" s="165"/>
      <c r="I405" s="21"/>
      <c r="J405" s="21"/>
      <c r="K405" s="182"/>
      <c r="L405" s="21"/>
      <c r="M405" s="21"/>
      <c r="N405" s="21"/>
      <c r="O405" s="21"/>
      <c r="P405" s="21"/>
      <c r="Q405" s="21"/>
      <c r="R405" s="21"/>
    </row>
    <row r="406" spans="1:18" s="1" customFormat="1">
      <c r="A406" s="282"/>
      <c r="B406" s="21"/>
      <c r="C406" s="21"/>
      <c r="D406" s="141"/>
      <c r="E406" s="108"/>
      <c r="F406" s="22"/>
      <c r="G406" s="219"/>
      <c r="H406" s="165"/>
      <c r="I406" s="21"/>
      <c r="J406" s="21"/>
      <c r="K406" s="182"/>
      <c r="L406" s="21"/>
      <c r="M406" s="21"/>
      <c r="N406" s="21"/>
      <c r="O406" s="21"/>
      <c r="P406" s="21"/>
      <c r="Q406" s="21"/>
      <c r="R406" s="21"/>
    </row>
    <row r="407" spans="1:18" s="1" customFormat="1">
      <c r="A407" s="282"/>
      <c r="B407" s="21"/>
      <c r="C407" s="21"/>
      <c r="D407" s="141"/>
      <c r="E407" s="108"/>
      <c r="F407" s="22"/>
      <c r="G407" s="219"/>
      <c r="H407" s="165"/>
      <c r="I407" s="21"/>
      <c r="J407" s="21"/>
      <c r="K407" s="182"/>
      <c r="L407" s="21"/>
      <c r="M407" s="21"/>
      <c r="N407" s="21"/>
      <c r="O407" s="21"/>
      <c r="P407" s="21"/>
      <c r="Q407" s="21"/>
      <c r="R407" s="21"/>
    </row>
    <row r="408" spans="1:18" s="1" customFormat="1">
      <c r="A408" s="282"/>
      <c r="B408" s="21"/>
      <c r="C408" s="21"/>
      <c r="D408" s="141"/>
      <c r="E408" s="108"/>
      <c r="F408" s="22"/>
      <c r="G408" s="219"/>
      <c r="H408" s="165"/>
      <c r="I408" s="21"/>
      <c r="J408" s="21"/>
      <c r="K408" s="182"/>
      <c r="L408" s="21"/>
      <c r="M408" s="21"/>
      <c r="N408" s="21"/>
      <c r="O408" s="21"/>
      <c r="P408" s="21"/>
      <c r="Q408" s="21"/>
      <c r="R408" s="21"/>
    </row>
    <row r="409" spans="1:18" s="1" customFormat="1">
      <c r="A409" s="282"/>
      <c r="B409" s="21"/>
      <c r="C409" s="21"/>
      <c r="D409" s="141"/>
      <c r="E409" s="108"/>
      <c r="F409" s="22"/>
      <c r="G409" s="219"/>
      <c r="H409" s="165"/>
      <c r="I409" s="21"/>
      <c r="J409" s="21"/>
      <c r="K409" s="182"/>
      <c r="L409" s="21"/>
      <c r="M409" s="21"/>
      <c r="N409" s="21"/>
      <c r="O409" s="21"/>
      <c r="P409" s="21"/>
      <c r="Q409" s="21"/>
      <c r="R409" s="21"/>
    </row>
    <row r="410" spans="1:18" s="1" customFormat="1">
      <c r="A410" s="282"/>
      <c r="B410" s="21"/>
      <c r="C410" s="21"/>
      <c r="D410" s="141"/>
      <c r="E410" s="108"/>
      <c r="F410" s="22"/>
      <c r="G410" s="219"/>
      <c r="H410" s="165"/>
      <c r="I410" s="21"/>
      <c r="J410" s="21"/>
      <c r="K410" s="182"/>
      <c r="L410" s="21"/>
      <c r="M410" s="21"/>
      <c r="N410" s="21"/>
      <c r="O410" s="21"/>
      <c r="P410" s="21"/>
      <c r="Q410" s="21"/>
      <c r="R410" s="21"/>
    </row>
    <row r="411" spans="1:18" s="1" customFormat="1">
      <c r="A411" s="282"/>
      <c r="B411" s="21"/>
      <c r="C411" s="21"/>
      <c r="D411" s="141"/>
      <c r="E411" s="108"/>
      <c r="F411" s="22"/>
      <c r="G411" s="219"/>
      <c r="H411" s="165"/>
      <c r="I411" s="21"/>
      <c r="J411" s="21"/>
      <c r="K411" s="182"/>
      <c r="L411" s="21"/>
      <c r="M411" s="21"/>
      <c r="N411" s="21"/>
      <c r="O411" s="21"/>
      <c r="P411" s="21"/>
      <c r="Q411" s="21"/>
      <c r="R411" s="21"/>
    </row>
    <row r="412" spans="1:18" s="1" customFormat="1">
      <c r="A412" s="282"/>
      <c r="B412" s="21"/>
      <c r="C412" s="21"/>
      <c r="D412" s="141"/>
      <c r="E412" s="108"/>
      <c r="F412" s="22"/>
      <c r="G412" s="219"/>
      <c r="H412" s="165"/>
      <c r="I412" s="21"/>
      <c r="J412" s="21"/>
      <c r="K412" s="182"/>
      <c r="L412" s="21"/>
      <c r="M412" s="21"/>
      <c r="N412" s="21"/>
      <c r="O412" s="21"/>
      <c r="P412" s="21"/>
      <c r="Q412" s="21"/>
      <c r="R412" s="21"/>
    </row>
    <row r="413" spans="1:18" s="1" customFormat="1">
      <c r="A413" s="282"/>
      <c r="B413" s="21"/>
      <c r="C413" s="21"/>
      <c r="D413" s="141"/>
      <c r="E413" s="108"/>
      <c r="F413" s="22"/>
      <c r="G413" s="219"/>
      <c r="H413" s="165"/>
      <c r="I413" s="21"/>
      <c r="J413" s="21"/>
      <c r="K413" s="182"/>
      <c r="L413" s="21"/>
      <c r="M413" s="21"/>
      <c r="N413" s="21"/>
      <c r="O413" s="21"/>
      <c r="P413" s="21"/>
      <c r="Q413" s="21"/>
      <c r="R413" s="21"/>
    </row>
    <row r="414" spans="1:18" s="1" customFormat="1">
      <c r="A414" s="282"/>
      <c r="B414" s="21"/>
      <c r="C414" s="21"/>
      <c r="D414" s="141"/>
      <c r="E414" s="108"/>
      <c r="F414" s="22"/>
      <c r="G414" s="219"/>
      <c r="H414" s="165"/>
      <c r="I414" s="21"/>
      <c r="J414" s="21"/>
      <c r="K414" s="182"/>
      <c r="L414" s="21"/>
      <c r="M414" s="21"/>
      <c r="N414" s="21"/>
      <c r="O414" s="21"/>
      <c r="P414" s="21"/>
      <c r="Q414" s="21"/>
      <c r="R414" s="21"/>
    </row>
    <row r="415" spans="1:18" s="1" customFormat="1">
      <c r="A415" s="282"/>
      <c r="B415" s="21"/>
      <c r="C415" s="21"/>
      <c r="D415" s="141"/>
      <c r="E415" s="108"/>
      <c r="F415" s="22"/>
      <c r="G415" s="219"/>
      <c r="H415" s="165"/>
      <c r="I415" s="21"/>
      <c r="J415" s="21"/>
      <c r="K415" s="182"/>
      <c r="L415" s="21"/>
      <c r="M415" s="21"/>
      <c r="N415" s="21"/>
      <c r="O415" s="21"/>
      <c r="P415" s="21"/>
      <c r="Q415" s="21"/>
      <c r="R415" s="21"/>
    </row>
    <row r="416" spans="1:18" s="1" customFormat="1">
      <c r="A416" s="282"/>
      <c r="B416" s="21"/>
      <c r="C416" s="21"/>
      <c r="D416" s="141"/>
      <c r="E416" s="108"/>
      <c r="F416" s="22"/>
      <c r="G416" s="219"/>
      <c r="H416" s="165"/>
      <c r="I416" s="21"/>
      <c r="J416" s="21"/>
      <c r="K416" s="182"/>
      <c r="L416" s="21"/>
      <c r="M416" s="21"/>
      <c r="N416" s="21"/>
      <c r="O416" s="21"/>
      <c r="P416" s="21"/>
      <c r="Q416" s="21"/>
      <c r="R416" s="21"/>
    </row>
    <row r="417" spans="1:18" s="1" customFormat="1">
      <c r="A417" s="282"/>
      <c r="B417" s="21"/>
      <c r="C417" s="21"/>
      <c r="D417" s="141"/>
      <c r="E417" s="108"/>
      <c r="F417" s="22"/>
      <c r="G417" s="219"/>
      <c r="H417" s="165"/>
      <c r="I417" s="21"/>
      <c r="J417" s="21"/>
      <c r="K417" s="182"/>
      <c r="L417" s="21"/>
      <c r="M417" s="21"/>
      <c r="N417" s="21"/>
      <c r="O417" s="21"/>
      <c r="P417" s="21"/>
      <c r="Q417" s="21"/>
      <c r="R417" s="21"/>
    </row>
    <row r="418" spans="1:18" s="1" customFormat="1">
      <c r="A418" s="282"/>
      <c r="B418" s="21"/>
      <c r="C418" s="21"/>
      <c r="D418" s="141"/>
      <c r="E418" s="108"/>
      <c r="F418" s="22"/>
      <c r="G418" s="219"/>
      <c r="H418" s="165"/>
      <c r="I418" s="21"/>
      <c r="J418" s="21"/>
      <c r="K418" s="182"/>
      <c r="L418" s="21"/>
      <c r="M418" s="21"/>
      <c r="N418" s="21"/>
      <c r="O418" s="21"/>
      <c r="P418" s="21"/>
      <c r="Q418" s="21"/>
      <c r="R418" s="21"/>
    </row>
    <row r="419" spans="1:18" s="1" customFormat="1">
      <c r="A419" s="282"/>
      <c r="B419" s="21"/>
      <c r="C419" s="21"/>
      <c r="D419" s="141"/>
      <c r="E419" s="108"/>
      <c r="F419" s="22"/>
      <c r="G419" s="219"/>
      <c r="H419" s="165"/>
      <c r="I419" s="21"/>
      <c r="J419" s="21"/>
      <c r="K419" s="182"/>
      <c r="L419" s="21"/>
      <c r="M419" s="21"/>
      <c r="N419" s="21"/>
      <c r="O419" s="21"/>
      <c r="P419" s="21"/>
      <c r="Q419" s="21"/>
      <c r="R419" s="21"/>
    </row>
    <row r="420" spans="1:18" s="1" customFormat="1">
      <c r="A420" s="282"/>
      <c r="B420" s="21"/>
      <c r="C420" s="21"/>
      <c r="D420" s="141"/>
      <c r="E420" s="108"/>
      <c r="F420" s="22"/>
      <c r="G420" s="219"/>
      <c r="H420" s="165"/>
      <c r="I420" s="21"/>
      <c r="J420" s="21"/>
      <c r="K420" s="182"/>
      <c r="L420" s="21"/>
      <c r="M420" s="21"/>
      <c r="N420" s="21"/>
      <c r="O420" s="21"/>
      <c r="P420" s="21"/>
      <c r="Q420" s="21"/>
      <c r="R420" s="21"/>
    </row>
    <row r="421" spans="1:18" s="1" customFormat="1">
      <c r="A421" s="282"/>
      <c r="B421" s="21"/>
      <c r="C421" s="21"/>
      <c r="D421" s="141"/>
      <c r="E421" s="108"/>
      <c r="F421" s="22"/>
      <c r="G421" s="219"/>
      <c r="H421" s="165"/>
      <c r="I421" s="21"/>
      <c r="J421" s="21"/>
      <c r="K421" s="182"/>
      <c r="L421" s="21"/>
      <c r="M421" s="21"/>
      <c r="N421" s="21"/>
      <c r="O421" s="21"/>
      <c r="P421" s="21"/>
      <c r="Q421" s="21"/>
      <c r="R421" s="21"/>
    </row>
    <row r="422" spans="1:18" s="1" customFormat="1">
      <c r="A422" s="282"/>
      <c r="B422" s="21"/>
      <c r="C422" s="21"/>
      <c r="D422" s="141"/>
      <c r="E422" s="108"/>
      <c r="F422" s="22"/>
      <c r="G422" s="219"/>
      <c r="H422" s="165"/>
      <c r="I422" s="21"/>
      <c r="J422" s="21"/>
      <c r="K422" s="182"/>
      <c r="L422" s="21"/>
      <c r="M422" s="21"/>
      <c r="N422" s="21"/>
      <c r="O422" s="21"/>
      <c r="P422" s="21"/>
      <c r="Q422" s="21"/>
      <c r="R422" s="21"/>
    </row>
    <row r="423" spans="1:18" s="1" customFormat="1">
      <c r="A423" s="282"/>
      <c r="B423" s="21"/>
      <c r="C423" s="21"/>
      <c r="D423" s="141"/>
      <c r="E423" s="108"/>
      <c r="F423" s="22"/>
      <c r="G423" s="219"/>
      <c r="H423" s="165"/>
      <c r="I423" s="21"/>
      <c r="J423" s="21"/>
      <c r="K423" s="182"/>
      <c r="L423" s="21"/>
      <c r="M423" s="21"/>
      <c r="N423" s="21"/>
      <c r="O423" s="21"/>
      <c r="P423" s="21"/>
      <c r="Q423" s="21"/>
      <c r="R423" s="21"/>
    </row>
    <row r="424" spans="1:18" s="1" customFormat="1">
      <c r="A424" s="282"/>
      <c r="B424" s="21"/>
      <c r="C424" s="21"/>
      <c r="D424" s="141"/>
      <c r="E424" s="108"/>
      <c r="F424" s="22"/>
      <c r="G424" s="219"/>
      <c r="H424" s="165"/>
      <c r="I424" s="21"/>
      <c r="J424" s="21"/>
      <c r="K424" s="182"/>
      <c r="L424" s="21"/>
      <c r="M424" s="21"/>
      <c r="N424" s="21"/>
      <c r="O424" s="21"/>
      <c r="P424" s="21"/>
      <c r="Q424" s="21"/>
      <c r="R424" s="21"/>
    </row>
    <row r="425" spans="1:18" s="1" customFormat="1">
      <c r="A425" s="282"/>
      <c r="B425" s="21"/>
      <c r="C425" s="21"/>
      <c r="D425" s="141"/>
      <c r="E425" s="108"/>
      <c r="F425" s="22"/>
      <c r="G425" s="219"/>
      <c r="H425" s="165"/>
      <c r="I425" s="21"/>
      <c r="J425" s="21"/>
      <c r="K425" s="182"/>
      <c r="L425" s="21"/>
      <c r="M425" s="21"/>
      <c r="N425" s="21"/>
      <c r="O425" s="21"/>
      <c r="P425" s="21"/>
      <c r="Q425" s="21"/>
      <c r="R425" s="21"/>
    </row>
    <row r="426" spans="1:18" s="1" customFormat="1">
      <c r="A426" s="282"/>
      <c r="B426" s="21"/>
      <c r="C426" s="21"/>
      <c r="D426" s="141"/>
      <c r="E426" s="108"/>
      <c r="F426" s="22"/>
      <c r="G426" s="219"/>
      <c r="H426" s="165"/>
      <c r="I426" s="21"/>
      <c r="J426" s="21"/>
      <c r="K426" s="182"/>
      <c r="L426" s="21"/>
      <c r="M426" s="21"/>
      <c r="N426" s="21"/>
      <c r="O426" s="21"/>
      <c r="P426" s="21"/>
      <c r="Q426" s="21"/>
      <c r="R426" s="21"/>
    </row>
    <row r="427" spans="1:18" s="1" customFormat="1">
      <c r="A427" s="282"/>
      <c r="B427" s="21"/>
      <c r="C427" s="21"/>
      <c r="D427" s="141"/>
      <c r="E427" s="108"/>
      <c r="F427" s="22"/>
      <c r="G427" s="219"/>
      <c r="H427" s="165"/>
      <c r="I427" s="21"/>
      <c r="J427" s="21"/>
      <c r="K427" s="182"/>
      <c r="L427" s="21"/>
      <c r="M427" s="21"/>
      <c r="N427" s="21"/>
      <c r="O427" s="21"/>
      <c r="P427" s="21"/>
      <c r="Q427" s="21"/>
      <c r="R427" s="21"/>
    </row>
    <row r="428" spans="1:18" s="1" customFormat="1">
      <c r="A428" s="282"/>
      <c r="B428" s="21"/>
      <c r="C428" s="21"/>
      <c r="D428" s="141"/>
      <c r="E428" s="108"/>
      <c r="F428" s="22"/>
      <c r="G428" s="219"/>
      <c r="H428" s="165"/>
      <c r="I428" s="21"/>
      <c r="J428" s="21"/>
      <c r="K428" s="182"/>
      <c r="L428" s="21"/>
      <c r="M428" s="21"/>
      <c r="N428" s="21"/>
      <c r="O428" s="21"/>
      <c r="P428" s="21"/>
      <c r="Q428" s="21"/>
      <c r="R428" s="21"/>
    </row>
    <row r="429" spans="1:18" s="1" customFormat="1">
      <c r="A429" s="282"/>
      <c r="B429" s="21"/>
      <c r="C429" s="21"/>
      <c r="D429" s="141"/>
      <c r="E429" s="108"/>
      <c r="F429" s="22"/>
      <c r="G429" s="219"/>
      <c r="H429" s="165"/>
      <c r="I429" s="21"/>
      <c r="J429" s="21"/>
      <c r="K429" s="182"/>
      <c r="L429" s="21"/>
      <c r="M429" s="21"/>
      <c r="N429" s="21"/>
      <c r="O429" s="21"/>
      <c r="P429" s="21"/>
      <c r="Q429" s="21"/>
      <c r="R429" s="21"/>
    </row>
    <row r="430" spans="1:18" s="1" customFormat="1">
      <c r="A430" s="282"/>
      <c r="B430" s="21"/>
      <c r="C430" s="21"/>
      <c r="D430" s="141"/>
      <c r="E430" s="108"/>
      <c r="F430" s="22"/>
      <c r="G430" s="219"/>
      <c r="H430" s="165"/>
      <c r="I430" s="21"/>
      <c r="J430" s="21"/>
      <c r="K430" s="182"/>
      <c r="L430" s="21"/>
      <c r="M430" s="21"/>
      <c r="N430" s="21"/>
      <c r="O430" s="21"/>
      <c r="P430" s="21"/>
      <c r="Q430" s="21"/>
      <c r="R430" s="21"/>
    </row>
    <row r="431" spans="1:18" s="1" customFormat="1">
      <c r="A431" s="282"/>
      <c r="B431" s="21"/>
      <c r="C431" s="21"/>
      <c r="D431" s="141"/>
      <c r="E431" s="108"/>
      <c r="F431" s="22"/>
      <c r="G431" s="219"/>
      <c r="H431" s="165"/>
      <c r="I431" s="21"/>
      <c r="J431" s="21"/>
      <c r="K431" s="182"/>
      <c r="L431" s="21"/>
      <c r="M431" s="21"/>
      <c r="N431" s="21"/>
      <c r="O431" s="21"/>
      <c r="P431" s="21"/>
      <c r="Q431" s="21"/>
      <c r="R431" s="21"/>
    </row>
    <row r="432" spans="1:18" s="1" customFormat="1">
      <c r="A432" s="282"/>
      <c r="B432" s="21"/>
      <c r="C432" s="21"/>
      <c r="D432" s="141"/>
      <c r="E432" s="108"/>
      <c r="F432" s="22"/>
      <c r="G432" s="219"/>
      <c r="H432" s="165"/>
      <c r="I432" s="21"/>
      <c r="J432" s="21"/>
      <c r="K432" s="182"/>
      <c r="L432" s="21"/>
      <c r="M432" s="21"/>
      <c r="N432" s="21"/>
      <c r="O432" s="21"/>
      <c r="P432" s="21"/>
      <c r="Q432" s="21"/>
      <c r="R432" s="21"/>
    </row>
    <row r="433" spans="1:18" s="1" customFormat="1">
      <c r="A433" s="282"/>
      <c r="B433" s="21"/>
      <c r="C433" s="21"/>
      <c r="D433" s="141"/>
      <c r="E433" s="108"/>
      <c r="F433" s="22"/>
      <c r="G433" s="219"/>
      <c r="H433" s="165"/>
      <c r="I433" s="21"/>
      <c r="J433" s="21"/>
      <c r="K433" s="182"/>
      <c r="L433" s="21"/>
      <c r="M433" s="21"/>
      <c r="N433" s="21"/>
      <c r="O433" s="21"/>
      <c r="P433" s="21"/>
      <c r="Q433" s="21"/>
      <c r="R433" s="21"/>
    </row>
    <row r="434" spans="1:18" s="1" customFormat="1">
      <c r="A434" s="282"/>
      <c r="B434" s="21"/>
      <c r="C434" s="21"/>
      <c r="D434" s="141"/>
      <c r="E434" s="108"/>
      <c r="F434" s="22"/>
      <c r="G434" s="219"/>
      <c r="H434" s="165"/>
      <c r="I434" s="21"/>
      <c r="J434" s="21"/>
      <c r="K434" s="182"/>
      <c r="L434" s="21"/>
      <c r="M434" s="21"/>
      <c r="N434" s="21"/>
      <c r="O434" s="21"/>
      <c r="P434" s="21"/>
      <c r="Q434" s="21"/>
      <c r="R434" s="21"/>
    </row>
    <row r="435" spans="1:18" s="1" customFormat="1">
      <c r="A435" s="282"/>
      <c r="B435" s="21"/>
      <c r="C435" s="21"/>
      <c r="D435" s="141"/>
      <c r="E435" s="108"/>
      <c r="F435" s="22"/>
      <c r="G435" s="219"/>
      <c r="H435" s="165"/>
      <c r="I435" s="21"/>
      <c r="J435" s="21"/>
      <c r="K435" s="182"/>
      <c r="L435" s="21"/>
      <c r="M435" s="21"/>
      <c r="N435" s="21"/>
      <c r="O435" s="21"/>
      <c r="P435" s="21"/>
      <c r="Q435" s="21"/>
      <c r="R435" s="21"/>
    </row>
    <row r="436" spans="1:18" s="1" customFormat="1">
      <c r="A436" s="282"/>
      <c r="B436" s="21"/>
      <c r="C436" s="21"/>
      <c r="D436" s="141"/>
      <c r="E436" s="108"/>
      <c r="F436" s="22"/>
      <c r="G436" s="219"/>
      <c r="H436" s="165"/>
      <c r="I436" s="21"/>
      <c r="J436" s="21"/>
      <c r="K436" s="182"/>
      <c r="L436" s="21"/>
      <c r="M436" s="21"/>
      <c r="N436" s="21"/>
      <c r="O436" s="21"/>
      <c r="P436" s="21"/>
      <c r="Q436" s="21"/>
      <c r="R436" s="21"/>
    </row>
    <row r="437" spans="1:18" s="1" customFormat="1">
      <c r="A437" s="282"/>
      <c r="B437" s="21"/>
      <c r="C437" s="21"/>
      <c r="D437" s="141"/>
      <c r="E437" s="108"/>
      <c r="F437" s="22"/>
      <c r="G437" s="219"/>
      <c r="H437" s="165"/>
      <c r="I437" s="21"/>
      <c r="J437" s="21"/>
      <c r="K437" s="182"/>
      <c r="L437" s="21"/>
      <c r="M437" s="21"/>
      <c r="N437" s="21"/>
      <c r="O437" s="21"/>
      <c r="P437" s="21"/>
      <c r="Q437" s="21"/>
      <c r="R437" s="21"/>
    </row>
    <row r="438" spans="1:18" s="1" customFormat="1">
      <c r="A438" s="282"/>
      <c r="B438" s="21"/>
      <c r="C438" s="21"/>
      <c r="D438" s="141"/>
      <c r="E438" s="108"/>
      <c r="F438" s="22"/>
      <c r="G438" s="219"/>
      <c r="H438" s="165"/>
      <c r="I438" s="21"/>
      <c r="J438" s="21"/>
      <c r="K438" s="182"/>
      <c r="L438" s="21"/>
      <c r="M438" s="21"/>
      <c r="N438" s="21"/>
      <c r="O438" s="21"/>
      <c r="P438" s="21"/>
      <c r="Q438" s="21"/>
      <c r="R438" s="21"/>
    </row>
    <row r="439" spans="1:18" s="1" customFormat="1">
      <c r="A439" s="282"/>
      <c r="B439" s="21"/>
      <c r="C439" s="21"/>
      <c r="D439" s="141"/>
      <c r="E439" s="108"/>
      <c r="F439" s="22"/>
      <c r="G439" s="219"/>
      <c r="H439" s="165"/>
      <c r="I439" s="21"/>
      <c r="J439" s="21"/>
      <c r="K439" s="182"/>
      <c r="L439" s="21"/>
      <c r="M439" s="21"/>
      <c r="N439" s="21"/>
      <c r="O439" s="21"/>
      <c r="P439" s="21"/>
      <c r="Q439" s="21"/>
      <c r="R439" s="21"/>
    </row>
    <row r="440" spans="1:18" s="1" customFormat="1">
      <c r="A440" s="282"/>
      <c r="B440" s="21"/>
      <c r="C440" s="21"/>
      <c r="D440" s="141"/>
      <c r="E440" s="108"/>
      <c r="F440" s="22"/>
      <c r="G440" s="219"/>
      <c r="H440" s="165"/>
      <c r="I440" s="21"/>
      <c r="J440" s="21"/>
      <c r="K440" s="182"/>
      <c r="L440" s="21"/>
      <c r="M440" s="21"/>
      <c r="N440" s="21"/>
      <c r="O440" s="21"/>
      <c r="P440" s="21"/>
      <c r="Q440" s="21"/>
      <c r="R440" s="21"/>
    </row>
    <row r="441" spans="1:18" s="1" customFormat="1">
      <c r="A441" s="282"/>
      <c r="B441" s="21"/>
      <c r="C441" s="21"/>
      <c r="D441" s="141"/>
      <c r="E441" s="108"/>
      <c r="F441" s="22"/>
      <c r="G441" s="219"/>
      <c r="H441" s="165"/>
      <c r="I441" s="21"/>
      <c r="J441" s="21"/>
      <c r="K441" s="182"/>
      <c r="L441" s="21"/>
      <c r="M441" s="21"/>
      <c r="N441" s="21"/>
      <c r="O441" s="21"/>
      <c r="P441" s="21"/>
      <c r="Q441" s="21"/>
      <c r="R441" s="21"/>
    </row>
    <row r="442" spans="1:18" s="1" customFormat="1">
      <c r="A442" s="282"/>
      <c r="B442" s="21"/>
      <c r="C442" s="21"/>
      <c r="D442" s="141"/>
      <c r="E442" s="108"/>
      <c r="F442" s="22"/>
      <c r="G442" s="219"/>
      <c r="H442" s="165"/>
      <c r="I442" s="21"/>
      <c r="J442" s="21"/>
      <c r="K442" s="182"/>
      <c r="L442" s="21"/>
      <c r="M442" s="21"/>
      <c r="N442" s="21"/>
      <c r="O442" s="21"/>
      <c r="P442" s="21"/>
      <c r="Q442" s="21"/>
      <c r="R442" s="21"/>
    </row>
    <row r="443" spans="1:18" s="1" customFormat="1">
      <c r="A443" s="282"/>
      <c r="B443" s="21"/>
      <c r="C443" s="21"/>
      <c r="D443" s="141"/>
      <c r="E443" s="108"/>
      <c r="F443" s="22"/>
      <c r="G443" s="219"/>
      <c r="H443" s="165"/>
      <c r="I443" s="21"/>
      <c r="J443" s="21"/>
      <c r="K443" s="182"/>
      <c r="L443" s="21"/>
      <c r="M443" s="21"/>
      <c r="N443" s="21"/>
      <c r="O443" s="21"/>
      <c r="P443" s="21"/>
      <c r="Q443" s="21"/>
      <c r="R443" s="21"/>
    </row>
    <row r="444" spans="1:18" s="1" customFormat="1">
      <c r="A444" s="282"/>
      <c r="B444" s="21"/>
      <c r="C444" s="21"/>
      <c r="D444" s="141"/>
      <c r="E444" s="108"/>
      <c r="F444" s="22"/>
      <c r="G444" s="219"/>
      <c r="H444" s="165"/>
      <c r="I444" s="21"/>
      <c r="J444" s="21"/>
      <c r="K444" s="182"/>
      <c r="L444" s="21"/>
      <c r="M444" s="21"/>
      <c r="N444" s="21"/>
      <c r="O444" s="21"/>
      <c r="P444" s="21"/>
      <c r="Q444" s="21"/>
      <c r="R444" s="21"/>
    </row>
    <row r="445" spans="1:18" s="1" customFormat="1">
      <c r="A445" s="282"/>
      <c r="B445" s="21"/>
      <c r="C445" s="21"/>
      <c r="D445" s="141"/>
      <c r="E445" s="108"/>
      <c r="F445" s="22"/>
      <c r="G445" s="219"/>
      <c r="H445" s="165"/>
      <c r="I445" s="21"/>
      <c r="J445" s="21"/>
      <c r="K445" s="182"/>
      <c r="L445" s="21"/>
      <c r="M445" s="21"/>
      <c r="N445" s="21"/>
      <c r="O445" s="21"/>
      <c r="P445" s="21"/>
      <c r="Q445" s="21"/>
      <c r="R445" s="21"/>
    </row>
    <row r="446" spans="1:18" s="1" customFormat="1">
      <c r="A446" s="282"/>
      <c r="B446" s="21"/>
      <c r="C446" s="21"/>
      <c r="D446" s="141"/>
      <c r="E446" s="108"/>
      <c r="F446" s="22"/>
      <c r="G446" s="219"/>
      <c r="H446" s="165"/>
      <c r="I446" s="21"/>
      <c r="J446" s="21"/>
      <c r="K446" s="182"/>
      <c r="L446" s="21"/>
      <c r="M446" s="21"/>
      <c r="N446" s="21"/>
      <c r="O446" s="21"/>
      <c r="P446" s="21"/>
      <c r="Q446" s="21"/>
      <c r="R446" s="21"/>
    </row>
    <row r="447" spans="1:18" s="1" customFormat="1">
      <c r="A447" s="282"/>
      <c r="B447" s="21"/>
      <c r="C447" s="21"/>
      <c r="D447" s="141"/>
      <c r="E447" s="108"/>
      <c r="F447" s="22"/>
      <c r="G447" s="219"/>
      <c r="H447" s="165"/>
      <c r="I447" s="21"/>
      <c r="J447" s="21"/>
      <c r="K447" s="182"/>
      <c r="L447" s="21"/>
      <c r="M447" s="21"/>
      <c r="N447" s="21"/>
      <c r="O447" s="21"/>
      <c r="P447" s="21"/>
      <c r="Q447" s="21"/>
      <c r="R447" s="21"/>
    </row>
    <row r="448" spans="1:18" s="1" customFormat="1">
      <c r="A448" s="282"/>
      <c r="B448" s="21"/>
      <c r="C448" s="21"/>
      <c r="D448" s="141"/>
      <c r="E448" s="108"/>
      <c r="F448" s="22"/>
      <c r="G448" s="219"/>
      <c r="H448" s="165"/>
      <c r="I448" s="21"/>
      <c r="J448" s="21"/>
      <c r="K448" s="182"/>
      <c r="L448" s="21"/>
      <c r="M448" s="21"/>
      <c r="N448" s="21"/>
      <c r="O448" s="21"/>
      <c r="P448" s="21"/>
      <c r="Q448" s="21"/>
      <c r="R448" s="21"/>
    </row>
    <row r="449" spans="1:18" s="1" customFormat="1">
      <c r="A449" s="282"/>
      <c r="B449" s="21"/>
      <c r="C449" s="21"/>
      <c r="D449" s="141"/>
      <c r="E449" s="108"/>
      <c r="F449" s="22"/>
      <c r="G449" s="219"/>
      <c r="H449" s="165"/>
      <c r="I449" s="21"/>
      <c r="J449" s="21"/>
      <c r="K449" s="182"/>
      <c r="L449" s="21"/>
      <c r="M449" s="21"/>
      <c r="N449" s="21"/>
      <c r="O449" s="21"/>
      <c r="P449" s="21"/>
      <c r="Q449" s="21"/>
      <c r="R449" s="21"/>
    </row>
    <row r="450" spans="1:18" s="1" customFormat="1">
      <c r="A450" s="282"/>
      <c r="B450" s="21"/>
      <c r="C450" s="21"/>
      <c r="D450" s="141"/>
      <c r="E450" s="108"/>
      <c r="F450" s="22"/>
      <c r="G450" s="219"/>
      <c r="H450" s="165"/>
      <c r="I450" s="21"/>
      <c r="J450" s="21"/>
      <c r="K450" s="182"/>
      <c r="L450" s="21"/>
      <c r="M450" s="21"/>
      <c r="N450" s="21"/>
      <c r="O450" s="21"/>
      <c r="P450" s="21"/>
      <c r="Q450" s="21"/>
      <c r="R450" s="21"/>
    </row>
    <row r="451" spans="1:18" s="1" customFormat="1">
      <c r="A451" s="282"/>
      <c r="B451" s="21"/>
      <c r="C451" s="21"/>
      <c r="D451" s="141"/>
      <c r="E451" s="108"/>
      <c r="F451" s="22"/>
      <c r="G451" s="219"/>
      <c r="H451" s="165"/>
      <c r="I451" s="21"/>
      <c r="J451" s="21"/>
      <c r="K451" s="182"/>
      <c r="L451" s="21"/>
      <c r="M451" s="21"/>
      <c r="N451" s="21"/>
      <c r="O451" s="21"/>
      <c r="P451" s="21"/>
      <c r="Q451" s="21"/>
      <c r="R451" s="21"/>
    </row>
    <row r="452" spans="1:18" s="1" customFormat="1">
      <c r="A452" s="282"/>
      <c r="B452" s="21"/>
      <c r="C452" s="21"/>
      <c r="D452" s="141"/>
      <c r="E452" s="108"/>
      <c r="F452" s="22"/>
      <c r="G452" s="219"/>
      <c r="H452" s="165"/>
      <c r="I452" s="21"/>
      <c r="J452" s="21"/>
      <c r="K452" s="182"/>
      <c r="L452" s="21"/>
      <c r="M452" s="21"/>
      <c r="N452" s="21"/>
      <c r="O452" s="21"/>
      <c r="P452" s="21"/>
      <c r="Q452" s="21"/>
      <c r="R452" s="21"/>
    </row>
    <row r="453" spans="1:18" s="1" customFormat="1">
      <c r="A453" s="282"/>
      <c r="B453" s="21"/>
      <c r="C453" s="21"/>
      <c r="D453" s="141"/>
      <c r="E453" s="108"/>
      <c r="F453" s="22"/>
      <c r="G453" s="219"/>
      <c r="H453" s="165"/>
      <c r="I453" s="21"/>
      <c r="J453" s="21"/>
      <c r="K453" s="182"/>
      <c r="L453" s="21"/>
      <c r="M453" s="21"/>
      <c r="N453" s="21"/>
      <c r="O453" s="21"/>
      <c r="P453" s="21"/>
      <c r="Q453" s="21"/>
      <c r="R453" s="21"/>
    </row>
    <row r="454" spans="1:18" s="1" customFormat="1">
      <c r="A454" s="282"/>
      <c r="B454" s="21"/>
      <c r="C454" s="21"/>
      <c r="D454" s="141"/>
      <c r="E454" s="108"/>
      <c r="F454" s="22"/>
      <c r="G454" s="219"/>
      <c r="H454" s="165"/>
      <c r="I454" s="21"/>
      <c r="J454" s="21"/>
      <c r="K454" s="182"/>
      <c r="L454" s="21"/>
      <c r="M454" s="21"/>
      <c r="N454" s="21"/>
      <c r="O454" s="21"/>
      <c r="P454" s="21"/>
      <c r="Q454" s="21"/>
      <c r="R454" s="21"/>
    </row>
    <row r="455" spans="1:18" s="1" customFormat="1">
      <c r="A455" s="282"/>
      <c r="B455" s="21"/>
      <c r="C455" s="21"/>
      <c r="D455" s="141"/>
      <c r="E455" s="108"/>
      <c r="F455" s="22"/>
      <c r="G455" s="219"/>
      <c r="H455" s="165"/>
      <c r="I455" s="21"/>
      <c r="J455" s="21"/>
      <c r="K455" s="182"/>
      <c r="L455" s="21"/>
      <c r="M455" s="21"/>
      <c r="N455" s="21"/>
      <c r="O455" s="21"/>
      <c r="P455" s="21"/>
      <c r="Q455" s="21"/>
      <c r="R455" s="21"/>
    </row>
    <row r="456" spans="1:18" s="1" customFormat="1">
      <c r="A456" s="282"/>
      <c r="B456" s="21"/>
      <c r="C456" s="21"/>
      <c r="D456" s="141"/>
      <c r="E456" s="108"/>
      <c r="F456" s="22"/>
      <c r="G456" s="219"/>
      <c r="H456" s="165"/>
      <c r="I456" s="21"/>
      <c r="J456" s="21"/>
      <c r="K456" s="182"/>
      <c r="L456" s="21"/>
      <c r="M456" s="21"/>
      <c r="N456" s="21"/>
      <c r="O456" s="21"/>
      <c r="P456" s="21"/>
      <c r="Q456" s="21"/>
      <c r="R456" s="21"/>
    </row>
    <row r="457" spans="1:18" s="1" customFormat="1">
      <c r="A457" s="282"/>
      <c r="B457" s="21"/>
      <c r="C457" s="21"/>
      <c r="D457" s="141"/>
      <c r="E457" s="108"/>
      <c r="F457" s="22"/>
      <c r="G457" s="219"/>
      <c r="H457" s="165"/>
      <c r="I457" s="21"/>
      <c r="J457" s="21"/>
      <c r="K457" s="182"/>
      <c r="L457" s="21"/>
      <c r="M457" s="21"/>
      <c r="N457" s="21"/>
      <c r="O457" s="21"/>
      <c r="P457" s="21"/>
      <c r="Q457" s="21"/>
      <c r="R457" s="21"/>
    </row>
    <row r="458" spans="1:18" s="1" customFormat="1">
      <c r="A458" s="282"/>
      <c r="B458" s="21"/>
      <c r="C458" s="21"/>
      <c r="D458" s="141"/>
      <c r="E458" s="108"/>
      <c r="F458" s="22"/>
      <c r="G458" s="219"/>
      <c r="H458" s="165"/>
      <c r="I458" s="21"/>
      <c r="J458" s="21"/>
      <c r="K458" s="182"/>
      <c r="L458" s="21"/>
      <c r="M458" s="21"/>
      <c r="N458" s="21"/>
      <c r="O458" s="21"/>
      <c r="P458" s="21"/>
      <c r="Q458" s="21"/>
      <c r="R458" s="21"/>
    </row>
    <row r="459" spans="1:18" s="1" customFormat="1">
      <c r="A459" s="282"/>
      <c r="B459" s="21"/>
      <c r="C459" s="21"/>
      <c r="D459" s="141"/>
      <c r="E459" s="108"/>
      <c r="F459" s="22"/>
      <c r="G459" s="219"/>
      <c r="H459" s="165"/>
      <c r="I459" s="21"/>
      <c r="J459" s="21"/>
      <c r="K459" s="182"/>
      <c r="L459" s="21"/>
      <c r="M459" s="21"/>
      <c r="N459" s="21"/>
      <c r="O459" s="21"/>
      <c r="P459" s="21"/>
      <c r="Q459" s="21"/>
      <c r="R459" s="21"/>
    </row>
    <row r="460" spans="1:18" s="1" customFormat="1">
      <c r="A460" s="282"/>
      <c r="B460" s="21"/>
      <c r="C460" s="21"/>
      <c r="D460" s="141"/>
      <c r="E460" s="108"/>
      <c r="F460" s="22"/>
      <c r="G460" s="219"/>
      <c r="H460" s="165"/>
      <c r="I460" s="21"/>
      <c r="J460" s="21"/>
      <c r="K460" s="182"/>
      <c r="L460" s="21"/>
      <c r="M460" s="21"/>
      <c r="N460" s="21"/>
      <c r="O460" s="21"/>
      <c r="P460" s="21"/>
      <c r="Q460" s="21"/>
      <c r="R460" s="21"/>
    </row>
    <row r="461" spans="1:18" s="1" customFormat="1">
      <c r="A461" s="282"/>
      <c r="B461" s="21"/>
      <c r="C461" s="21"/>
      <c r="D461" s="141"/>
      <c r="E461" s="108"/>
      <c r="F461" s="22"/>
      <c r="G461" s="219"/>
      <c r="H461" s="165"/>
      <c r="I461" s="21"/>
      <c r="J461" s="21"/>
      <c r="K461" s="182"/>
      <c r="L461" s="21"/>
      <c r="M461" s="21"/>
      <c r="N461" s="21"/>
      <c r="O461" s="21"/>
      <c r="P461" s="21"/>
      <c r="Q461" s="21"/>
      <c r="R461" s="21"/>
    </row>
    <row r="462" spans="1:18" s="1" customFormat="1">
      <c r="A462" s="282"/>
      <c r="B462" s="21"/>
      <c r="C462" s="21"/>
      <c r="D462" s="141"/>
      <c r="E462" s="108"/>
      <c r="F462" s="22"/>
      <c r="G462" s="219"/>
      <c r="H462" s="165"/>
      <c r="I462" s="21"/>
      <c r="J462" s="21"/>
      <c r="K462" s="182"/>
      <c r="L462" s="21"/>
      <c r="M462" s="21"/>
      <c r="N462" s="21"/>
      <c r="O462" s="21"/>
      <c r="P462" s="21"/>
      <c r="Q462" s="21"/>
      <c r="R462" s="21"/>
    </row>
    <row r="463" spans="1:18" s="1" customFormat="1">
      <c r="A463" s="282"/>
      <c r="B463" s="21"/>
      <c r="C463" s="21"/>
      <c r="D463" s="141"/>
      <c r="E463" s="108"/>
      <c r="F463" s="22"/>
      <c r="G463" s="219"/>
      <c r="H463" s="165"/>
      <c r="I463" s="21"/>
      <c r="J463" s="21"/>
      <c r="K463" s="182"/>
      <c r="L463" s="21"/>
      <c r="M463" s="21"/>
      <c r="N463" s="21"/>
      <c r="O463" s="21"/>
      <c r="P463" s="21"/>
      <c r="Q463" s="21"/>
      <c r="R463" s="21"/>
    </row>
    <row r="464" spans="1:18" s="1" customFormat="1">
      <c r="A464" s="282"/>
      <c r="B464" s="21"/>
      <c r="C464" s="21"/>
      <c r="D464" s="141"/>
      <c r="E464" s="108"/>
      <c r="F464" s="22"/>
      <c r="G464" s="219"/>
      <c r="H464" s="165"/>
      <c r="I464" s="21"/>
      <c r="J464" s="21"/>
      <c r="K464" s="182"/>
      <c r="L464" s="21"/>
      <c r="M464" s="21"/>
      <c r="N464" s="21"/>
      <c r="O464" s="21"/>
      <c r="P464" s="21"/>
      <c r="Q464" s="21"/>
      <c r="R464" s="21"/>
    </row>
    <row r="465" spans="1:18" s="1" customFormat="1">
      <c r="A465" s="282"/>
      <c r="B465" s="21"/>
      <c r="C465" s="21"/>
      <c r="D465" s="141"/>
      <c r="E465" s="108"/>
      <c r="F465" s="22"/>
      <c r="G465" s="219"/>
      <c r="H465" s="165"/>
      <c r="I465" s="21"/>
      <c r="J465" s="21"/>
      <c r="K465" s="182"/>
      <c r="L465" s="21"/>
      <c r="M465" s="21"/>
      <c r="N465" s="21"/>
      <c r="O465" s="21"/>
      <c r="P465" s="21"/>
      <c r="Q465" s="21"/>
      <c r="R465" s="21"/>
    </row>
    <row r="466" spans="1:18" s="1" customFormat="1">
      <c r="A466" s="282"/>
      <c r="B466" s="21"/>
      <c r="C466" s="21"/>
      <c r="D466" s="141"/>
      <c r="E466" s="108"/>
      <c r="F466" s="22"/>
      <c r="G466" s="219"/>
      <c r="H466" s="165"/>
      <c r="I466" s="21"/>
      <c r="J466" s="21"/>
      <c r="K466" s="182"/>
      <c r="L466" s="21"/>
      <c r="M466" s="21"/>
      <c r="N466" s="21"/>
      <c r="O466" s="21"/>
      <c r="P466" s="21"/>
      <c r="Q466" s="21"/>
      <c r="R466" s="21"/>
    </row>
    <row r="467" spans="1:18" s="1" customFormat="1">
      <c r="A467" s="282"/>
      <c r="B467" s="21"/>
      <c r="C467" s="21"/>
      <c r="D467" s="141"/>
      <c r="E467" s="108"/>
      <c r="F467" s="22"/>
      <c r="G467" s="219"/>
      <c r="H467" s="165"/>
      <c r="I467" s="21"/>
      <c r="J467" s="21"/>
      <c r="K467" s="182"/>
      <c r="L467" s="21"/>
      <c r="M467" s="21"/>
      <c r="N467" s="21"/>
      <c r="O467" s="21"/>
      <c r="P467" s="21"/>
      <c r="Q467" s="21"/>
      <c r="R467" s="21"/>
    </row>
    <row r="468" spans="1:18" s="1" customFormat="1">
      <c r="A468" s="282"/>
      <c r="B468" s="21"/>
      <c r="C468" s="21"/>
      <c r="D468" s="141"/>
      <c r="E468" s="108"/>
      <c r="F468" s="22"/>
      <c r="G468" s="219"/>
      <c r="H468" s="165"/>
      <c r="I468" s="21"/>
      <c r="J468" s="21"/>
      <c r="K468" s="182"/>
      <c r="L468" s="21"/>
      <c r="M468" s="21"/>
      <c r="N468" s="21"/>
      <c r="O468" s="21"/>
      <c r="P468" s="21"/>
      <c r="Q468" s="21"/>
      <c r="R468" s="21"/>
    </row>
    <row r="469" spans="1:18" s="1" customFormat="1">
      <c r="A469" s="282"/>
      <c r="B469" s="21"/>
      <c r="C469" s="21"/>
      <c r="D469" s="141"/>
      <c r="E469" s="108"/>
      <c r="F469" s="22"/>
      <c r="G469" s="219"/>
      <c r="H469" s="165"/>
      <c r="I469" s="21"/>
      <c r="J469" s="21"/>
      <c r="K469" s="182"/>
      <c r="L469" s="21"/>
      <c r="M469" s="21"/>
      <c r="N469" s="21"/>
      <c r="O469" s="21"/>
      <c r="P469" s="21"/>
      <c r="Q469" s="21"/>
      <c r="R469" s="21"/>
    </row>
    <row r="470" spans="1:18" s="1" customFormat="1">
      <c r="A470" s="282"/>
      <c r="B470" s="21"/>
      <c r="C470" s="21"/>
      <c r="D470" s="141"/>
      <c r="E470" s="108"/>
      <c r="F470" s="22"/>
      <c r="G470" s="219"/>
      <c r="H470" s="165"/>
      <c r="I470" s="21"/>
      <c r="J470" s="21"/>
      <c r="K470" s="182"/>
      <c r="L470" s="21"/>
      <c r="M470" s="21"/>
      <c r="N470" s="21"/>
      <c r="O470" s="21"/>
      <c r="P470" s="21"/>
      <c r="Q470" s="21"/>
      <c r="R470" s="21"/>
    </row>
    <row r="471" spans="1:18" s="1" customFormat="1">
      <c r="A471" s="282"/>
      <c r="B471" s="21"/>
      <c r="C471" s="21"/>
      <c r="D471" s="141"/>
      <c r="E471" s="108"/>
      <c r="F471" s="22"/>
      <c r="G471" s="219"/>
      <c r="H471" s="165"/>
      <c r="I471" s="21"/>
      <c r="J471" s="21"/>
      <c r="K471" s="182"/>
      <c r="L471" s="21"/>
      <c r="M471" s="21"/>
      <c r="N471" s="21"/>
      <c r="O471" s="21"/>
      <c r="P471" s="21"/>
      <c r="Q471" s="21"/>
      <c r="R471" s="21"/>
    </row>
    <row r="472" spans="1:18" s="1" customFormat="1">
      <c r="A472" s="282"/>
      <c r="B472" s="21"/>
      <c r="C472" s="21"/>
      <c r="D472" s="141"/>
      <c r="E472" s="108"/>
      <c r="F472" s="22"/>
      <c r="G472" s="219"/>
      <c r="H472" s="165"/>
      <c r="I472" s="21"/>
      <c r="J472" s="21"/>
      <c r="K472" s="182"/>
      <c r="L472" s="21"/>
      <c r="M472" s="21"/>
      <c r="N472" s="21"/>
      <c r="O472" s="21"/>
      <c r="P472" s="21"/>
      <c r="Q472" s="21"/>
      <c r="R472" s="21"/>
    </row>
    <row r="473" spans="1:18" s="1" customFormat="1">
      <c r="A473" s="282"/>
      <c r="B473" s="21"/>
      <c r="C473" s="21"/>
      <c r="D473" s="141"/>
      <c r="E473" s="108"/>
      <c r="F473" s="22"/>
      <c r="G473" s="219"/>
      <c r="H473" s="165"/>
      <c r="I473" s="21"/>
      <c r="J473" s="21"/>
      <c r="K473" s="182"/>
      <c r="L473" s="21"/>
      <c r="M473" s="21"/>
      <c r="N473" s="21"/>
      <c r="O473" s="21"/>
      <c r="P473" s="21"/>
      <c r="Q473" s="21"/>
      <c r="R473" s="21"/>
    </row>
    <row r="474" spans="1:18" s="1" customFormat="1">
      <c r="A474" s="282"/>
      <c r="B474" s="21"/>
      <c r="C474" s="21"/>
      <c r="D474" s="141"/>
      <c r="E474" s="108"/>
      <c r="F474" s="22"/>
      <c r="G474" s="219"/>
      <c r="H474" s="165"/>
      <c r="I474" s="21"/>
      <c r="J474" s="21"/>
      <c r="K474" s="182"/>
      <c r="L474" s="21"/>
      <c r="M474" s="21"/>
      <c r="N474" s="21"/>
      <c r="O474" s="21"/>
      <c r="P474" s="21"/>
      <c r="Q474" s="21"/>
      <c r="R474" s="21"/>
    </row>
    <row r="475" spans="1:18" s="1" customFormat="1">
      <c r="A475" s="282"/>
      <c r="B475" s="21"/>
      <c r="C475" s="21"/>
      <c r="D475" s="141"/>
      <c r="E475" s="108"/>
      <c r="F475" s="22"/>
      <c r="G475" s="219"/>
      <c r="H475" s="165"/>
      <c r="I475" s="21"/>
      <c r="J475" s="21"/>
      <c r="K475" s="182"/>
      <c r="L475" s="21"/>
      <c r="M475" s="21"/>
      <c r="N475" s="21"/>
      <c r="O475" s="21"/>
      <c r="P475" s="21"/>
      <c r="Q475" s="21"/>
      <c r="R475" s="21"/>
    </row>
    <row r="476" spans="1:18" s="1" customFormat="1">
      <c r="A476" s="282"/>
      <c r="B476" s="21"/>
      <c r="C476" s="21"/>
      <c r="D476" s="141"/>
      <c r="E476" s="108"/>
      <c r="F476" s="22"/>
      <c r="G476" s="219"/>
      <c r="H476" s="165"/>
      <c r="I476" s="21"/>
      <c r="J476" s="21"/>
      <c r="K476" s="182"/>
      <c r="L476" s="21"/>
      <c r="M476" s="21"/>
      <c r="N476" s="21"/>
      <c r="O476" s="21"/>
      <c r="P476" s="21"/>
      <c r="Q476" s="21"/>
      <c r="R476" s="21"/>
    </row>
    <row r="477" spans="1:18" s="1" customFormat="1">
      <c r="A477" s="282"/>
      <c r="B477" s="21"/>
      <c r="C477" s="21"/>
      <c r="D477" s="141"/>
      <c r="E477" s="108"/>
      <c r="F477" s="22"/>
      <c r="G477" s="219"/>
      <c r="H477" s="165"/>
      <c r="I477" s="21"/>
      <c r="J477" s="21"/>
      <c r="K477" s="182"/>
      <c r="L477" s="21"/>
      <c r="M477" s="21"/>
      <c r="N477" s="21"/>
      <c r="O477" s="21"/>
      <c r="P477" s="21"/>
      <c r="Q477" s="21"/>
      <c r="R477" s="21"/>
    </row>
    <row r="478" spans="1:18" s="1" customFormat="1">
      <c r="A478" s="282"/>
      <c r="B478" s="21"/>
      <c r="C478" s="21"/>
      <c r="D478" s="141"/>
      <c r="E478" s="108"/>
      <c r="F478" s="22"/>
      <c r="G478" s="219"/>
      <c r="H478" s="165"/>
      <c r="I478" s="21"/>
      <c r="J478" s="21"/>
      <c r="K478" s="182"/>
      <c r="L478" s="21"/>
      <c r="M478" s="21"/>
      <c r="N478" s="21"/>
      <c r="O478" s="21"/>
      <c r="P478" s="21"/>
      <c r="Q478" s="21"/>
      <c r="R478" s="21"/>
    </row>
    <row r="479" spans="1:18" s="1" customFormat="1">
      <c r="A479" s="282"/>
      <c r="B479" s="21"/>
      <c r="C479" s="21"/>
      <c r="D479" s="141"/>
      <c r="E479" s="108"/>
      <c r="F479" s="22"/>
      <c r="G479" s="219"/>
      <c r="H479" s="165"/>
      <c r="I479" s="21"/>
      <c r="J479" s="21"/>
      <c r="K479" s="182"/>
      <c r="L479" s="21"/>
      <c r="M479" s="21"/>
      <c r="N479" s="21"/>
      <c r="O479" s="21"/>
      <c r="P479" s="21"/>
      <c r="Q479" s="21"/>
      <c r="R479" s="21"/>
    </row>
    <row r="480" spans="1:18" s="1" customFormat="1">
      <c r="A480" s="282"/>
      <c r="B480" s="21"/>
      <c r="C480" s="21"/>
      <c r="D480" s="141"/>
      <c r="E480" s="108"/>
      <c r="F480" s="22"/>
      <c r="G480" s="219"/>
      <c r="H480" s="165"/>
      <c r="I480" s="21"/>
      <c r="J480" s="21"/>
      <c r="K480" s="182"/>
      <c r="L480" s="21"/>
      <c r="M480" s="21"/>
      <c r="N480" s="21"/>
      <c r="O480" s="21"/>
      <c r="P480" s="21"/>
      <c r="Q480" s="21"/>
      <c r="R480" s="21"/>
    </row>
    <row r="481" spans="1:18" s="1" customFormat="1">
      <c r="A481" s="282"/>
      <c r="B481" s="21"/>
      <c r="C481" s="21"/>
      <c r="D481" s="141"/>
      <c r="E481" s="108"/>
      <c r="F481" s="22"/>
      <c r="G481" s="219"/>
      <c r="H481" s="165"/>
      <c r="I481" s="21"/>
      <c r="J481" s="21"/>
      <c r="K481" s="182"/>
      <c r="L481" s="21"/>
      <c r="M481" s="21"/>
      <c r="N481" s="21"/>
      <c r="O481" s="21"/>
      <c r="P481" s="21"/>
      <c r="Q481" s="21"/>
      <c r="R481" s="21"/>
    </row>
    <row r="482" spans="1:18" s="1" customFormat="1">
      <c r="A482" s="282"/>
      <c r="B482" s="21"/>
      <c r="C482" s="21"/>
      <c r="D482" s="141"/>
      <c r="E482" s="108"/>
      <c r="F482" s="22"/>
      <c r="G482" s="219"/>
      <c r="H482" s="165"/>
      <c r="I482" s="21"/>
      <c r="J482" s="21"/>
      <c r="K482" s="182"/>
      <c r="L482" s="21"/>
      <c r="M482" s="21"/>
      <c r="N482" s="21"/>
      <c r="O482" s="21"/>
      <c r="P482" s="21"/>
      <c r="Q482" s="21"/>
      <c r="R482" s="21"/>
    </row>
    <row r="483" spans="1:18" s="1" customFormat="1">
      <c r="A483" s="282"/>
      <c r="B483" s="21"/>
      <c r="C483" s="21"/>
      <c r="D483" s="141"/>
      <c r="E483" s="108"/>
      <c r="F483" s="22"/>
      <c r="G483" s="219"/>
      <c r="H483" s="165"/>
      <c r="I483" s="21"/>
      <c r="J483" s="21"/>
      <c r="K483" s="182"/>
      <c r="L483" s="21"/>
      <c r="M483" s="21"/>
      <c r="N483" s="21"/>
      <c r="O483" s="21"/>
      <c r="P483" s="21"/>
      <c r="Q483" s="21"/>
      <c r="R483" s="21"/>
    </row>
    <row r="484" spans="1:18" s="1" customFormat="1">
      <c r="A484" s="282"/>
      <c r="B484" s="21"/>
      <c r="C484" s="21"/>
      <c r="D484" s="141"/>
      <c r="E484" s="108"/>
      <c r="F484" s="22"/>
      <c r="G484" s="219"/>
      <c r="H484" s="165"/>
      <c r="I484" s="21"/>
      <c r="J484" s="21"/>
      <c r="K484" s="182"/>
      <c r="L484" s="21"/>
      <c r="M484" s="21"/>
      <c r="N484" s="21"/>
      <c r="O484" s="21"/>
      <c r="P484" s="21"/>
      <c r="Q484" s="21"/>
      <c r="R484" s="21"/>
    </row>
    <row r="485" spans="1:18" s="1" customFormat="1">
      <c r="A485" s="282"/>
      <c r="B485" s="21"/>
      <c r="C485" s="21"/>
      <c r="D485" s="141"/>
      <c r="E485" s="108"/>
      <c r="F485" s="22"/>
      <c r="G485" s="219"/>
      <c r="H485" s="165"/>
      <c r="I485" s="21"/>
      <c r="J485" s="21"/>
      <c r="K485" s="182"/>
      <c r="L485" s="21"/>
      <c r="M485" s="21"/>
      <c r="N485" s="21"/>
      <c r="O485" s="21"/>
      <c r="P485" s="21"/>
      <c r="Q485" s="21"/>
      <c r="R485" s="21"/>
    </row>
    <row r="486" spans="1:18" s="1" customFormat="1">
      <c r="A486" s="282"/>
      <c r="B486" s="21"/>
      <c r="C486" s="21"/>
      <c r="D486" s="141"/>
      <c r="E486" s="108"/>
      <c r="F486" s="22"/>
      <c r="G486" s="219"/>
      <c r="H486" s="165"/>
      <c r="I486" s="21"/>
      <c r="J486" s="21"/>
      <c r="K486" s="182"/>
      <c r="L486" s="21"/>
      <c r="M486" s="21"/>
      <c r="N486" s="21"/>
      <c r="O486" s="21"/>
      <c r="P486" s="21"/>
      <c r="Q486" s="21"/>
      <c r="R486" s="21"/>
    </row>
    <row r="487" spans="1:18" s="1" customFormat="1">
      <c r="A487" s="282"/>
      <c r="B487" s="21"/>
      <c r="C487" s="21"/>
      <c r="D487" s="141"/>
      <c r="E487" s="108"/>
      <c r="F487" s="22"/>
      <c r="G487" s="219"/>
      <c r="H487" s="165"/>
      <c r="I487" s="21"/>
      <c r="J487" s="21"/>
      <c r="K487" s="182"/>
      <c r="L487" s="21"/>
      <c r="M487" s="21"/>
      <c r="N487" s="21"/>
      <c r="O487" s="21"/>
      <c r="P487" s="21"/>
      <c r="Q487" s="21"/>
      <c r="R487" s="21"/>
    </row>
    <row r="488" spans="1:18" s="1" customFormat="1">
      <c r="A488" s="282"/>
      <c r="B488" s="21"/>
      <c r="C488" s="21"/>
      <c r="D488" s="141"/>
      <c r="E488" s="108"/>
      <c r="F488" s="22"/>
      <c r="G488" s="219"/>
      <c r="H488" s="165"/>
      <c r="I488" s="21"/>
      <c r="J488" s="21"/>
      <c r="K488" s="182"/>
      <c r="L488" s="21"/>
      <c r="M488" s="21"/>
      <c r="N488" s="21"/>
      <c r="O488" s="21"/>
      <c r="P488" s="21"/>
      <c r="Q488" s="21"/>
      <c r="R488" s="21"/>
    </row>
    <row r="489" spans="1:18" s="1" customFormat="1">
      <c r="A489" s="282"/>
      <c r="B489" s="21"/>
      <c r="C489" s="21"/>
      <c r="D489" s="141"/>
      <c r="E489" s="108"/>
      <c r="F489" s="22"/>
      <c r="G489" s="219"/>
      <c r="H489" s="165"/>
      <c r="I489" s="21"/>
      <c r="J489" s="21"/>
      <c r="K489" s="182"/>
      <c r="L489" s="21"/>
      <c r="M489" s="21"/>
      <c r="N489" s="21"/>
      <c r="O489" s="21"/>
      <c r="P489" s="21"/>
      <c r="Q489" s="21"/>
      <c r="R489" s="21"/>
    </row>
    <row r="490" spans="1:18" s="1" customFormat="1">
      <c r="A490" s="282"/>
      <c r="B490" s="21"/>
      <c r="C490" s="21"/>
      <c r="D490" s="141"/>
      <c r="E490" s="108"/>
      <c r="F490" s="22"/>
      <c r="G490" s="219"/>
      <c r="H490" s="165"/>
      <c r="I490" s="21"/>
      <c r="J490" s="21"/>
      <c r="K490" s="182"/>
      <c r="L490" s="21"/>
      <c r="M490" s="21"/>
      <c r="N490" s="21"/>
      <c r="O490" s="21"/>
      <c r="P490" s="21"/>
      <c r="Q490" s="21"/>
      <c r="R490" s="21"/>
    </row>
    <row r="491" spans="1:18" s="1" customFormat="1">
      <c r="A491" s="282"/>
      <c r="B491" s="21"/>
      <c r="C491" s="21"/>
      <c r="D491" s="141"/>
      <c r="E491" s="108"/>
      <c r="F491" s="22"/>
      <c r="G491" s="219"/>
      <c r="H491" s="165"/>
      <c r="I491" s="21"/>
      <c r="J491" s="21"/>
      <c r="K491" s="182"/>
      <c r="L491" s="21"/>
      <c r="M491" s="21"/>
      <c r="N491" s="21"/>
      <c r="O491" s="21"/>
      <c r="P491" s="21"/>
      <c r="Q491" s="21"/>
      <c r="R491" s="21"/>
    </row>
    <row r="492" spans="1:18" s="1" customFormat="1">
      <c r="A492" s="282"/>
      <c r="B492" s="21"/>
      <c r="C492" s="21"/>
      <c r="D492" s="141"/>
      <c r="E492" s="108"/>
      <c r="F492" s="22"/>
      <c r="G492" s="219"/>
      <c r="H492" s="165"/>
      <c r="I492" s="21"/>
      <c r="J492" s="21"/>
      <c r="K492" s="182"/>
      <c r="L492" s="21"/>
      <c r="M492" s="21"/>
      <c r="N492" s="21"/>
      <c r="O492" s="21"/>
      <c r="P492" s="21"/>
      <c r="Q492" s="21"/>
      <c r="R492" s="21"/>
    </row>
    <row r="493" spans="1:18" s="1" customFormat="1">
      <c r="A493" s="282"/>
      <c r="B493" s="21"/>
      <c r="C493" s="21"/>
      <c r="D493" s="141"/>
      <c r="E493" s="108"/>
      <c r="F493" s="22"/>
      <c r="G493" s="219"/>
      <c r="H493" s="165"/>
      <c r="I493" s="21"/>
      <c r="J493" s="21"/>
      <c r="K493" s="182"/>
      <c r="L493" s="21"/>
      <c r="M493" s="21"/>
      <c r="N493" s="21"/>
      <c r="O493" s="21"/>
      <c r="P493" s="21"/>
      <c r="Q493" s="21"/>
      <c r="R493" s="21"/>
    </row>
    <row r="494" spans="1:18" s="1" customFormat="1">
      <c r="A494" s="282"/>
      <c r="B494" s="21"/>
      <c r="C494" s="21"/>
      <c r="D494" s="141"/>
      <c r="E494" s="108"/>
      <c r="F494" s="22"/>
      <c r="G494" s="219"/>
      <c r="H494" s="165"/>
      <c r="I494" s="21"/>
      <c r="J494" s="21"/>
      <c r="K494" s="182"/>
      <c r="L494" s="21"/>
      <c r="M494" s="21"/>
      <c r="N494" s="21"/>
      <c r="O494" s="21"/>
      <c r="P494" s="21"/>
      <c r="Q494" s="21"/>
      <c r="R494" s="21"/>
    </row>
    <row r="495" spans="1:18" s="1" customFormat="1">
      <c r="A495" s="282"/>
      <c r="B495" s="21"/>
      <c r="C495" s="21"/>
      <c r="D495" s="141"/>
      <c r="E495" s="108"/>
      <c r="F495" s="22"/>
      <c r="G495" s="219"/>
      <c r="H495" s="165"/>
      <c r="I495" s="21"/>
      <c r="J495" s="21"/>
      <c r="K495" s="182"/>
      <c r="L495" s="21"/>
      <c r="M495" s="21"/>
      <c r="N495" s="21"/>
      <c r="O495" s="21"/>
      <c r="P495" s="21"/>
      <c r="Q495" s="21"/>
      <c r="R495" s="21"/>
    </row>
    <row r="496" spans="1:18" s="1" customFormat="1">
      <c r="A496" s="282"/>
      <c r="B496" s="21"/>
      <c r="C496" s="21"/>
      <c r="D496" s="141"/>
      <c r="E496" s="108"/>
      <c r="F496" s="22"/>
      <c r="G496" s="219"/>
      <c r="H496" s="165"/>
      <c r="I496" s="21"/>
      <c r="J496" s="21"/>
      <c r="K496" s="182"/>
      <c r="L496" s="21"/>
      <c r="M496" s="21"/>
      <c r="N496" s="21"/>
      <c r="O496" s="21"/>
      <c r="P496" s="21"/>
      <c r="Q496" s="21"/>
      <c r="R496" s="21"/>
    </row>
    <row r="497" spans="1:18" s="1" customFormat="1">
      <c r="A497" s="282"/>
      <c r="B497" s="21"/>
      <c r="C497" s="21"/>
      <c r="D497" s="141"/>
      <c r="E497" s="108"/>
      <c r="F497" s="22"/>
      <c r="G497" s="219"/>
      <c r="H497" s="165"/>
      <c r="I497" s="21"/>
      <c r="J497" s="21"/>
      <c r="K497" s="182"/>
      <c r="L497" s="21"/>
      <c r="M497" s="21"/>
      <c r="N497" s="21"/>
      <c r="O497" s="21"/>
      <c r="P497" s="21"/>
      <c r="Q497" s="21"/>
      <c r="R497" s="21"/>
    </row>
    <row r="498" spans="1:18" s="1" customFormat="1">
      <c r="A498" s="282"/>
      <c r="B498" s="21"/>
      <c r="C498" s="21"/>
      <c r="D498" s="141"/>
      <c r="E498" s="108"/>
      <c r="F498" s="22"/>
      <c r="G498" s="219"/>
      <c r="H498" s="165"/>
      <c r="I498" s="21"/>
      <c r="J498" s="21"/>
      <c r="K498" s="182"/>
      <c r="L498" s="21"/>
      <c r="M498" s="21"/>
      <c r="N498" s="21"/>
      <c r="O498" s="21"/>
      <c r="P498" s="21"/>
      <c r="Q498" s="21"/>
      <c r="R498" s="21"/>
    </row>
    <row r="499" spans="1:18" s="1" customFormat="1">
      <c r="A499" s="282"/>
      <c r="B499" s="21"/>
      <c r="C499" s="21"/>
      <c r="D499" s="141"/>
      <c r="E499" s="108"/>
      <c r="F499" s="22"/>
      <c r="G499" s="219"/>
      <c r="H499" s="165"/>
      <c r="I499" s="21"/>
      <c r="J499" s="21"/>
      <c r="K499" s="182"/>
      <c r="L499" s="21"/>
      <c r="M499" s="21"/>
      <c r="N499" s="21"/>
      <c r="O499" s="21"/>
      <c r="P499" s="21"/>
      <c r="Q499" s="21"/>
      <c r="R499" s="21"/>
    </row>
    <row r="500" spans="1:18" s="1" customFormat="1">
      <c r="A500" s="282"/>
      <c r="B500" s="21"/>
      <c r="C500" s="21"/>
      <c r="D500" s="141"/>
      <c r="E500" s="108"/>
      <c r="F500" s="22"/>
      <c r="G500" s="219"/>
      <c r="H500" s="165"/>
      <c r="I500" s="21"/>
      <c r="J500" s="21"/>
      <c r="K500" s="182"/>
      <c r="L500" s="21"/>
      <c r="M500" s="21"/>
      <c r="N500" s="21"/>
      <c r="O500" s="21"/>
      <c r="P500" s="21"/>
      <c r="Q500" s="21"/>
      <c r="R500" s="21"/>
    </row>
    <row r="501" spans="1:18" s="1" customFormat="1">
      <c r="A501" s="282"/>
      <c r="B501" s="21"/>
      <c r="C501" s="21"/>
      <c r="D501" s="141"/>
      <c r="E501" s="108"/>
      <c r="F501" s="22"/>
      <c r="G501" s="219"/>
      <c r="H501" s="165"/>
      <c r="I501" s="21"/>
      <c r="J501" s="21"/>
      <c r="K501" s="182"/>
      <c r="L501" s="21"/>
      <c r="M501" s="21"/>
      <c r="N501" s="21"/>
      <c r="O501" s="21"/>
      <c r="P501" s="21"/>
      <c r="Q501" s="21"/>
      <c r="R501" s="21"/>
    </row>
    <row r="502" spans="1:18" s="1" customFormat="1">
      <c r="A502" s="282"/>
      <c r="B502" s="21"/>
      <c r="C502" s="21"/>
      <c r="D502" s="141"/>
      <c r="E502" s="108"/>
      <c r="F502" s="22"/>
      <c r="G502" s="219"/>
      <c r="H502" s="165"/>
      <c r="I502" s="21"/>
      <c r="J502" s="21"/>
      <c r="K502" s="182"/>
      <c r="L502" s="21"/>
      <c r="M502" s="21"/>
      <c r="N502" s="21"/>
      <c r="O502" s="21"/>
      <c r="P502" s="21"/>
      <c r="Q502" s="21"/>
      <c r="R502" s="21"/>
    </row>
    <row r="503" spans="1:18" s="1" customFormat="1">
      <c r="A503" s="282"/>
      <c r="B503" s="21"/>
      <c r="C503" s="21"/>
      <c r="D503" s="141"/>
      <c r="E503" s="108"/>
      <c r="F503" s="22"/>
      <c r="G503" s="219"/>
      <c r="H503" s="165"/>
      <c r="I503" s="21"/>
      <c r="J503" s="21"/>
      <c r="K503" s="182"/>
      <c r="L503" s="21"/>
      <c r="M503" s="21"/>
      <c r="N503" s="21"/>
      <c r="O503" s="21"/>
      <c r="P503" s="21"/>
      <c r="Q503" s="21"/>
      <c r="R503" s="21"/>
    </row>
    <row r="504" spans="1:18" s="1" customFormat="1">
      <c r="A504" s="282"/>
      <c r="B504" s="21"/>
      <c r="C504" s="21"/>
      <c r="D504" s="141"/>
      <c r="E504" s="108"/>
      <c r="F504" s="22"/>
      <c r="G504" s="219"/>
      <c r="H504" s="165"/>
      <c r="I504" s="21"/>
      <c r="J504" s="21"/>
      <c r="K504" s="182"/>
      <c r="L504" s="21"/>
      <c r="M504" s="21"/>
      <c r="N504" s="21"/>
      <c r="O504" s="21"/>
      <c r="P504" s="21"/>
      <c r="Q504" s="21"/>
      <c r="R504" s="21"/>
    </row>
    <row r="505" spans="1:18" s="1" customFormat="1">
      <c r="A505" s="282"/>
      <c r="B505" s="21"/>
      <c r="C505" s="21"/>
      <c r="D505" s="141"/>
      <c r="E505" s="108"/>
      <c r="F505" s="22"/>
      <c r="G505" s="219"/>
      <c r="H505" s="165"/>
      <c r="I505" s="21"/>
      <c r="J505" s="21"/>
      <c r="K505" s="182"/>
      <c r="L505" s="21"/>
      <c r="M505" s="21"/>
      <c r="N505" s="21"/>
      <c r="O505" s="21"/>
      <c r="P505" s="21"/>
      <c r="Q505" s="21"/>
      <c r="R505" s="21"/>
    </row>
    <row r="506" spans="1:18" s="1" customFormat="1">
      <c r="A506" s="282"/>
      <c r="B506" s="21"/>
      <c r="C506" s="21"/>
      <c r="D506" s="141"/>
      <c r="E506" s="108"/>
      <c r="F506" s="22"/>
      <c r="G506" s="219"/>
      <c r="H506" s="165"/>
      <c r="I506" s="21"/>
      <c r="J506" s="21"/>
      <c r="K506" s="182"/>
      <c r="L506" s="21"/>
      <c r="M506" s="21"/>
      <c r="N506" s="21"/>
      <c r="O506" s="21"/>
      <c r="P506" s="21"/>
      <c r="Q506" s="21"/>
      <c r="R506" s="21"/>
    </row>
    <row r="507" spans="1:18" s="1" customFormat="1">
      <c r="A507" s="282"/>
      <c r="B507" s="21"/>
      <c r="C507" s="21"/>
      <c r="D507" s="141"/>
      <c r="E507" s="108"/>
      <c r="F507" s="22"/>
      <c r="G507" s="219"/>
      <c r="H507" s="165"/>
      <c r="I507" s="21"/>
      <c r="J507" s="21"/>
      <c r="K507" s="182"/>
      <c r="L507" s="21"/>
      <c r="M507" s="21"/>
      <c r="N507" s="21"/>
      <c r="O507" s="21"/>
      <c r="P507" s="21"/>
      <c r="Q507" s="21"/>
      <c r="R507" s="21"/>
    </row>
    <row r="508" spans="1:18" s="1" customFormat="1">
      <c r="A508" s="282"/>
      <c r="B508" s="21"/>
      <c r="C508" s="21"/>
      <c r="D508" s="141"/>
      <c r="E508" s="108"/>
      <c r="F508" s="22"/>
      <c r="G508" s="219"/>
      <c r="H508" s="165"/>
      <c r="I508" s="21"/>
      <c r="J508" s="21"/>
      <c r="K508" s="182"/>
      <c r="L508" s="21"/>
      <c r="M508" s="21"/>
      <c r="N508" s="21"/>
      <c r="O508" s="21"/>
      <c r="P508" s="21"/>
      <c r="Q508" s="21"/>
      <c r="R508" s="21"/>
    </row>
    <row r="509" spans="1:18" s="1" customFormat="1">
      <c r="A509" s="282"/>
      <c r="B509" s="21"/>
      <c r="C509" s="21"/>
      <c r="D509" s="141"/>
      <c r="E509" s="108"/>
      <c r="F509" s="22"/>
      <c r="G509" s="219"/>
      <c r="H509" s="165"/>
      <c r="I509" s="21"/>
      <c r="J509" s="21"/>
      <c r="K509" s="182"/>
      <c r="L509" s="21"/>
      <c r="M509" s="21"/>
      <c r="N509" s="21"/>
      <c r="O509" s="21"/>
      <c r="P509" s="21"/>
      <c r="Q509" s="21"/>
      <c r="R509" s="21"/>
    </row>
    <row r="510" spans="1:18" s="1" customFormat="1">
      <c r="A510" s="282"/>
      <c r="B510" s="21"/>
      <c r="C510" s="21"/>
      <c r="D510" s="141"/>
      <c r="E510" s="108"/>
      <c r="F510" s="22"/>
      <c r="G510" s="219"/>
      <c r="H510" s="165"/>
      <c r="I510" s="21"/>
      <c r="J510" s="21"/>
      <c r="K510" s="182"/>
      <c r="L510" s="21"/>
      <c r="M510" s="21"/>
      <c r="N510" s="21"/>
      <c r="O510" s="21"/>
      <c r="P510" s="21"/>
      <c r="Q510" s="21"/>
      <c r="R510" s="21"/>
    </row>
    <row r="511" spans="1:18" s="1" customFormat="1">
      <c r="A511" s="282"/>
      <c r="B511" s="21"/>
      <c r="C511" s="21"/>
      <c r="D511" s="141"/>
      <c r="E511" s="108"/>
      <c r="F511" s="22"/>
      <c r="G511" s="219"/>
      <c r="H511" s="165"/>
      <c r="I511" s="21"/>
      <c r="J511" s="21"/>
      <c r="K511" s="182"/>
      <c r="L511" s="21"/>
      <c r="M511" s="21"/>
      <c r="N511" s="21"/>
      <c r="O511" s="21"/>
      <c r="P511" s="21"/>
      <c r="Q511" s="21"/>
      <c r="R511" s="21"/>
    </row>
    <row r="512" spans="1:18" s="1" customFormat="1">
      <c r="A512" s="282"/>
      <c r="B512" s="21"/>
      <c r="C512" s="21"/>
      <c r="D512" s="141"/>
      <c r="E512" s="108"/>
      <c r="F512" s="22"/>
      <c r="G512" s="219"/>
      <c r="H512" s="165"/>
      <c r="I512" s="21"/>
      <c r="J512" s="21"/>
      <c r="K512" s="182"/>
      <c r="L512" s="21"/>
      <c r="M512" s="21"/>
      <c r="N512" s="21"/>
      <c r="O512" s="21"/>
      <c r="P512" s="21"/>
      <c r="Q512" s="21"/>
      <c r="R512" s="21"/>
    </row>
    <row r="513" spans="1:18" s="1" customFormat="1">
      <c r="A513" s="282"/>
      <c r="B513" s="21"/>
      <c r="C513" s="21"/>
      <c r="D513" s="141"/>
      <c r="E513" s="108"/>
      <c r="F513" s="22"/>
      <c r="G513" s="219"/>
      <c r="H513" s="165"/>
      <c r="I513" s="21"/>
      <c r="J513" s="21"/>
      <c r="K513" s="182"/>
      <c r="L513" s="21"/>
      <c r="M513" s="21"/>
      <c r="N513" s="21"/>
      <c r="O513" s="21"/>
      <c r="P513" s="21"/>
      <c r="Q513" s="21"/>
      <c r="R513" s="21"/>
    </row>
    <row r="514" spans="1:18" s="1" customFormat="1">
      <c r="A514" s="282"/>
      <c r="B514" s="21"/>
      <c r="C514" s="21"/>
      <c r="D514" s="141"/>
      <c r="E514" s="108"/>
      <c r="F514" s="22"/>
      <c r="G514" s="219"/>
      <c r="H514" s="165"/>
      <c r="I514" s="21"/>
      <c r="J514" s="21"/>
      <c r="K514" s="182"/>
      <c r="L514" s="21"/>
      <c r="M514" s="21"/>
      <c r="N514" s="21"/>
      <c r="O514" s="21"/>
      <c r="P514" s="21"/>
      <c r="Q514" s="21"/>
      <c r="R514" s="21"/>
    </row>
    <row r="515" spans="1:18" s="1" customFormat="1">
      <c r="A515" s="282"/>
      <c r="B515" s="21"/>
      <c r="C515" s="21"/>
      <c r="D515" s="141"/>
      <c r="E515" s="108"/>
      <c r="F515" s="22"/>
      <c r="G515" s="219"/>
      <c r="H515" s="165"/>
      <c r="I515" s="21"/>
      <c r="J515" s="21"/>
      <c r="K515" s="182"/>
      <c r="L515" s="21"/>
      <c r="M515" s="21"/>
      <c r="N515" s="21"/>
      <c r="O515" s="21"/>
      <c r="P515" s="21"/>
      <c r="Q515" s="21"/>
      <c r="R515" s="21"/>
    </row>
    <row r="516" spans="1:18" s="1" customFormat="1">
      <c r="A516" s="282"/>
      <c r="B516" s="21"/>
      <c r="C516" s="21"/>
      <c r="D516" s="141"/>
      <c r="E516" s="108"/>
      <c r="F516" s="22"/>
      <c r="G516" s="219"/>
      <c r="H516" s="165"/>
      <c r="I516" s="21"/>
      <c r="J516" s="21"/>
      <c r="K516" s="182"/>
      <c r="L516" s="21"/>
      <c r="M516" s="21"/>
      <c r="N516" s="21"/>
      <c r="O516" s="21"/>
      <c r="P516" s="21"/>
      <c r="Q516" s="21"/>
      <c r="R516" s="21"/>
    </row>
    <row r="517" spans="1:18" s="1" customFormat="1">
      <c r="A517" s="282"/>
      <c r="B517" s="21"/>
      <c r="C517" s="21"/>
      <c r="D517" s="141"/>
      <c r="E517" s="108"/>
      <c r="F517" s="22"/>
      <c r="G517" s="219"/>
      <c r="H517" s="165"/>
      <c r="I517" s="21"/>
      <c r="J517" s="21"/>
      <c r="K517" s="182"/>
      <c r="L517" s="21"/>
      <c r="M517" s="21"/>
      <c r="N517" s="21"/>
      <c r="O517" s="21"/>
      <c r="P517" s="21"/>
      <c r="Q517" s="21"/>
      <c r="R517" s="21"/>
    </row>
    <row r="518" spans="1:18" s="1" customFormat="1">
      <c r="A518" s="282"/>
      <c r="B518" s="21"/>
      <c r="C518" s="21"/>
      <c r="D518" s="141"/>
      <c r="E518" s="108"/>
      <c r="F518" s="22"/>
      <c r="G518" s="219"/>
      <c r="H518" s="165"/>
      <c r="I518" s="21"/>
      <c r="J518" s="21"/>
      <c r="K518" s="182"/>
      <c r="L518" s="21"/>
      <c r="M518" s="21"/>
      <c r="N518" s="21"/>
      <c r="O518" s="21"/>
      <c r="P518" s="21"/>
      <c r="Q518" s="21"/>
      <c r="R518" s="21"/>
    </row>
    <row r="519" spans="1:18" s="1" customFormat="1">
      <c r="A519" s="282"/>
      <c r="B519" s="21"/>
      <c r="C519" s="21"/>
      <c r="D519" s="141"/>
      <c r="E519" s="108"/>
      <c r="F519" s="22"/>
      <c r="G519" s="219"/>
      <c r="H519" s="165"/>
      <c r="I519" s="21"/>
      <c r="J519" s="21"/>
      <c r="K519" s="182"/>
      <c r="L519" s="21"/>
      <c r="M519" s="21"/>
      <c r="N519" s="21"/>
      <c r="O519" s="21"/>
      <c r="P519" s="21"/>
      <c r="Q519" s="21"/>
      <c r="R519" s="21"/>
    </row>
    <row r="520" spans="1:18" s="1" customFormat="1">
      <c r="A520" s="282"/>
      <c r="B520" s="21"/>
      <c r="C520" s="21"/>
      <c r="D520" s="141"/>
      <c r="E520" s="108"/>
      <c r="F520" s="22"/>
      <c r="G520" s="219"/>
      <c r="H520" s="165"/>
      <c r="I520" s="21"/>
      <c r="J520" s="21"/>
      <c r="K520" s="182"/>
      <c r="L520" s="21"/>
      <c r="M520" s="21"/>
      <c r="N520" s="21"/>
      <c r="O520" s="21"/>
      <c r="P520" s="21"/>
      <c r="Q520" s="21"/>
      <c r="R520" s="21"/>
    </row>
    <row r="521" spans="1:18" s="1" customFormat="1">
      <c r="A521" s="282"/>
      <c r="B521" s="21"/>
      <c r="C521" s="21"/>
      <c r="D521" s="141"/>
      <c r="E521" s="108"/>
      <c r="F521" s="22"/>
      <c r="G521" s="219"/>
      <c r="H521" s="165"/>
      <c r="I521" s="21"/>
      <c r="J521" s="21"/>
      <c r="K521" s="182"/>
      <c r="L521" s="21"/>
      <c r="M521" s="21"/>
      <c r="N521" s="21"/>
      <c r="O521" s="21"/>
      <c r="P521" s="21"/>
      <c r="Q521" s="21"/>
      <c r="R521" s="21"/>
    </row>
    <row r="522" spans="1:18" s="1" customFormat="1">
      <c r="A522" s="282"/>
      <c r="B522" s="21"/>
      <c r="C522" s="21"/>
      <c r="D522" s="141"/>
      <c r="E522" s="108"/>
      <c r="F522" s="22"/>
      <c r="G522" s="219"/>
      <c r="H522" s="165"/>
      <c r="I522" s="21"/>
      <c r="J522" s="21"/>
      <c r="K522" s="182"/>
      <c r="L522" s="21"/>
      <c r="M522" s="21"/>
      <c r="N522" s="21"/>
      <c r="O522" s="21"/>
      <c r="P522" s="21"/>
      <c r="Q522" s="21"/>
      <c r="R522" s="21"/>
    </row>
    <row r="523" spans="1:18" s="1" customFormat="1">
      <c r="A523" s="282"/>
      <c r="B523" s="21"/>
      <c r="C523" s="21"/>
      <c r="D523" s="141"/>
      <c r="E523" s="108"/>
      <c r="F523" s="22"/>
      <c r="G523" s="219"/>
      <c r="H523" s="165"/>
      <c r="I523" s="21"/>
      <c r="J523" s="21"/>
      <c r="K523" s="182"/>
      <c r="L523" s="21"/>
      <c r="M523" s="21"/>
      <c r="N523" s="21"/>
      <c r="O523" s="21"/>
      <c r="P523" s="21"/>
      <c r="Q523" s="21"/>
      <c r="R523" s="21"/>
    </row>
    <row r="524" spans="1:18" s="1" customFormat="1">
      <c r="A524" s="282"/>
      <c r="B524" s="21"/>
      <c r="C524" s="21"/>
      <c r="D524" s="141"/>
      <c r="E524" s="108"/>
      <c r="F524" s="22"/>
      <c r="G524" s="219"/>
      <c r="H524" s="165"/>
      <c r="I524" s="21"/>
      <c r="J524" s="21"/>
      <c r="K524" s="182"/>
      <c r="L524" s="21"/>
      <c r="M524" s="21"/>
      <c r="N524" s="21"/>
      <c r="O524" s="21"/>
      <c r="P524" s="21"/>
      <c r="Q524" s="21"/>
      <c r="R524" s="21"/>
    </row>
    <row r="525" spans="1:18" s="1" customFormat="1">
      <c r="A525" s="282"/>
      <c r="B525" s="21"/>
      <c r="C525" s="21"/>
      <c r="D525" s="141"/>
      <c r="E525" s="108"/>
      <c r="F525" s="22"/>
      <c r="G525" s="219"/>
      <c r="H525" s="165"/>
      <c r="I525" s="21"/>
      <c r="J525" s="21"/>
      <c r="K525" s="182"/>
      <c r="L525" s="21"/>
      <c r="M525" s="21"/>
      <c r="N525" s="21"/>
      <c r="O525" s="21"/>
      <c r="P525" s="21"/>
      <c r="Q525" s="21"/>
      <c r="R525" s="21"/>
    </row>
    <row r="526" spans="1:18" s="1" customFormat="1">
      <c r="A526" s="282"/>
      <c r="B526" s="21"/>
      <c r="C526" s="21"/>
      <c r="D526" s="141"/>
      <c r="E526" s="108"/>
      <c r="F526" s="22"/>
      <c r="G526" s="219"/>
      <c r="H526" s="165"/>
      <c r="I526" s="21"/>
      <c r="J526" s="21"/>
      <c r="K526" s="182"/>
      <c r="L526" s="21"/>
      <c r="M526" s="21"/>
      <c r="N526" s="21"/>
      <c r="O526" s="21"/>
      <c r="P526" s="21"/>
      <c r="Q526" s="21"/>
      <c r="R526" s="21"/>
    </row>
    <row r="527" spans="1:18" s="1" customFormat="1">
      <c r="A527" s="282"/>
      <c r="B527" s="21"/>
      <c r="C527" s="21"/>
      <c r="D527" s="141"/>
      <c r="E527" s="108"/>
      <c r="F527" s="22"/>
      <c r="G527" s="219"/>
      <c r="H527" s="165"/>
      <c r="I527" s="21"/>
      <c r="J527" s="21"/>
      <c r="K527" s="182"/>
      <c r="L527" s="21"/>
      <c r="M527" s="21"/>
      <c r="N527" s="21"/>
      <c r="O527" s="21"/>
      <c r="P527" s="21"/>
      <c r="Q527" s="21"/>
      <c r="R527" s="21"/>
    </row>
    <row r="528" spans="1:18" s="1" customFormat="1">
      <c r="A528" s="282"/>
      <c r="B528" s="21"/>
      <c r="C528" s="21"/>
      <c r="D528" s="141"/>
      <c r="E528" s="108"/>
      <c r="F528" s="22"/>
      <c r="G528" s="219"/>
      <c r="H528" s="165"/>
      <c r="I528" s="21"/>
      <c r="J528" s="21"/>
      <c r="K528" s="182"/>
      <c r="L528" s="21"/>
      <c r="M528" s="21"/>
      <c r="N528" s="21"/>
      <c r="O528" s="21"/>
      <c r="P528" s="21"/>
      <c r="Q528" s="21"/>
      <c r="R528" s="21"/>
    </row>
    <row r="529" spans="1:18" s="1" customFormat="1">
      <c r="A529" s="282"/>
      <c r="B529" s="21"/>
      <c r="C529" s="21"/>
      <c r="D529" s="141"/>
      <c r="E529" s="108"/>
      <c r="F529" s="22"/>
      <c r="G529" s="219"/>
      <c r="H529" s="165"/>
      <c r="I529" s="21"/>
      <c r="J529" s="21"/>
      <c r="K529" s="182"/>
      <c r="L529" s="21"/>
      <c r="M529" s="21"/>
      <c r="N529" s="21"/>
      <c r="O529" s="21"/>
      <c r="P529" s="21"/>
      <c r="Q529" s="21"/>
      <c r="R529" s="21"/>
    </row>
    <row r="530" spans="1:18" s="1" customFormat="1">
      <c r="A530" s="282"/>
      <c r="B530" s="21"/>
      <c r="C530" s="21"/>
      <c r="D530" s="141"/>
      <c r="E530" s="108"/>
      <c r="F530" s="22"/>
      <c r="G530" s="219"/>
      <c r="H530" s="165"/>
      <c r="I530" s="21"/>
      <c r="J530" s="21"/>
      <c r="K530" s="182"/>
      <c r="L530" s="21"/>
      <c r="M530" s="21"/>
      <c r="N530" s="21"/>
      <c r="O530" s="21"/>
      <c r="P530" s="21"/>
      <c r="Q530" s="21"/>
      <c r="R530" s="21"/>
    </row>
    <row r="531" spans="1:18" s="1" customFormat="1">
      <c r="A531" s="282"/>
      <c r="B531" s="21"/>
      <c r="C531" s="21"/>
      <c r="D531" s="141"/>
      <c r="E531" s="108"/>
      <c r="F531" s="22"/>
      <c r="G531" s="219"/>
      <c r="H531" s="165"/>
      <c r="I531" s="21"/>
      <c r="J531" s="21"/>
      <c r="K531" s="182"/>
      <c r="L531" s="21"/>
      <c r="M531" s="21"/>
      <c r="N531" s="21"/>
      <c r="O531" s="21"/>
      <c r="P531" s="21"/>
      <c r="Q531" s="21"/>
      <c r="R531" s="21"/>
    </row>
    <row r="532" spans="1:18" s="1" customFormat="1">
      <c r="A532" s="282"/>
      <c r="B532" s="21"/>
      <c r="C532" s="21"/>
      <c r="D532" s="141"/>
      <c r="E532" s="108"/>
      <c r="F532" s="22"/>
      <c r="G532" s="219"/>
      <c r="H532" s="165"/>
      <c r="I532" s="21"/>
      <c r="J532" s="21"/>
      <c r="K532" s="182"/>
      <c r="L532" s="21"/>
      <c r="M532" s="21"/>
      <c r="N532" s="21"/>
      <c r="O532" s="21"/>
      <c r="P532" s="21"/>
      <c r="Q532" s="21"/>
      <c r="R532" s="21"/>
    </row>
    <row r="533" spans="1:18" s="1" customFormat="1">
      <c r="A533" s="282"/>
      <c r="B533" s="21"/>
      <c r="C533" s="21"/>
      <c r="D533" s="141"/>
      <c r="E533" s="108"/>
      <c r="F533" s="22"/>
      <c r="G533" s="219"/>
      <c r="H533" s="165"/>
      <c r="I533" s="21"/>
      <c r="J533" s="21"/>
      <c r="K533" s="182"/>
      <c r="L533" s="21"/>
      <c r="M533" s="21"/>
      <c r="N533" s="21"/>
      <c r="O533" s="21"/>
      <c r="P533" s="21"/>
      <c r="Q533" s="21"/>
      <c r="R533" s="21"/>
    </row>
    <row r="534" spans="1:18" s="1" customFormat="1">
      <c r="A534" s="282"/>
      <c r="B534" s="21"/>
      <c r="C534" s="21"/>
      <c r="D534" s="141"/>
      <c r="E534" s="108"/>
      <c r="F534" s="22"/>
      <c r="G534" s="219"/>
      <c r="H534" s="165"/>
      <c r="I534" s="21"/>
      <c r="J534" s="21"/>
      <c r="K534" s="182"/>
      <c r="L534" s="21"/>
      <c r="M534" s="21"/>
      <c r="N534" s="21"/>
      <c r="O534" s="21"/>
      <c r="P534" s="21"/>
      <c r="Q534" s="21"/>
      <c r="R534" s="21"/>
    </row>
    <row r="535" spans="1:18" s="1" customFormat="1">
      <c r="A535" s="282"/>
      <c r="B535" s="21"/>
      <c r="C535" s="21"/>
      <c r="D535" s="141"/>
      <c r="E535" s="108"/>
      <c r="F535" s="22"/>
      <c r="G535" s="219"/>
      <c r="H535" s="165"/>
      <c r="I535" s="21"/>
      <c r="J535" s="21"/>
      <c r="K535" s="182"/>
      <c r="L535" s="21"/>
      <c r="M535" s="21"/>
      <c r="N535" s="21"/>
      <c r="O535" s="21"/>
      <c r="P535" s="21"/>
      <c r="Q535" s="21"/>
      <c r="R535" s="21"/>
    </row>
    <row r="536" spans="1:18" s="1" customFormat="1">
      <c r="A536" s="282"/>
      <c r="B536" s="21"/>
      <c r="C536" s="21"/>
      <c r="D536" s="141"/>
      <c r="E536" s="108"/>
      <c r="F536" s="22"/>
      <c r="G536" s="219"/>
      <c r="H536" s="165"/>
      <c r="I536" s="21"/>
      <c r="J536" s="21"/>
      <c r="K536" s="182"/>
      <c r="L536" s="21"/>
      <c r="M536" s="21"/>
      <c r="N536" s="21"/>
      <c r="O536" s="21"/>
      <c r="P536" s="21"/>
      <c r="Q536" s="21"/>
      <c r="R536" s="21"/>
    </row>
    <row r="537" spans="1:18" s="1" customFormat="1">
      <c r="A537" s="282"/>
      <c r="B537" s="21"/>
      <c r="C537" s="21"/>
      <c r="D537" s="141"/>
      <c r="E537" s="108"/>
      <c r="F537" s="22"/>
      <c r="G537" s="219"/>
      <c r="H537" s="165"/>
      <c r="I537" s="21"/>
      <c r="J537" s="21"/>
      <c r="K537" s="182"/>
      <c r="L537" s="21"/>
      <c r="M537" s="21"/>
      <c r="N537" s="21"/>
      <c r="O537" s="21"/>
      <c r="P537" s="21"/>
      <c r="Q537" s="21"/>
      <c r="R537" s="21"/>
    </row>
    <row r="538" spans="1:18" s="1" customFormat="1">
      <c r="A538" s="282"/>
      <c r="B538" s="21"/>
      <c r="C538" s="21"/>
      <c r="D538" s="141"/>
      <c r="E538" s="108"/>
      <c r="F538" s="22"/>
      <c r="G538" s="219"/>
      <c r="H538" s="165"/>
      <c r="I538" s="21"/>
      <c r="J538" s="21"/>
      <c r="K538" s="182"/>
      <c r="L538" s="21"/>
      <c r="M538" s="21"/>
      <c r="N538" s="21"/>
      <c r="O538" s="21"/>
      <c r="P538" s="21"/>
      <c r="Q538" s="21"/>
      <c r="R538" s="21"/>
    </row>
    <row r="539" spans="1:18" s="1" customFormat="1">
      <c r="A539" s="282"/>
      <c r="B539" s="21"/>
      <c r="C539" s="21"/>
      <c r="D539" s="141"/>
      <c r="E539" s="108"/>
      <c r="F539" s="22"/>
      <c r="G539" s="219"/>
      <c r="H539" s="165"/>
      <c r="I539" s="21"/>
      <c r="J539" s="21"/>
      <c r="K539" s="182"/>
      <c r="L539" s="21"/>
      <c r="M539" s="21"/>
      <c r="N539" s="21"/>
      <c r="O539" s="21"/>
      <c r="P539" s="21"/>
      <c r="Q539" s="21"/>
      <c r="R539" s="21"/>
    </row>
    <row r="540" spans="1:18" s="1" customFormat="1">
      <c r="A540" s="282"/>
      <c r="B540" s="21"/>
      <c r="C540" s="21"/>
      <c r="D540" s="141"/>
      <c r="E540" s="108"/>
      <c r="F540" s="22"/>
      <c r="G540" s="219"/>
      <c r="H540" s="165"/>
      <c r="I540" s="21"/>
      <c r="J540" s="21"/>
      <c r="K540" s="182"/>
      <c r="L540" s="21"/>
      <c r="M540" s="21"/>
      <c r="N540" s="21"/>
      <c r="O540" s="21"/>
      <c r="P540" s="21"/>
      <c r="Q540" s="21"/>
      <c r="R540" s="21"/>
    </row>
    <row r="541" spans="1:18" s="1" customFormat="1">
      <c r="A541" s="282"/>
      <c r="B541" s="21"/>
      <c r="C541" s="21"/>
      <c r="D541" s="141"/>
      <c r="E541" s="108"/>
      <c r="F541" s="22"/>
      <c r="G541" s="219"/>
      <c r="H541" s="165"/>
      <c r="I541" s="21"/>
      <c r="J541" s="21"/>
      <c r="K541" s="182"/>
      <c r="L541" s="21"/>
      <c r="M541" s="21"/>
      <c r="N541" s="21"/>
      <c r="O541" s="21"/>
      <c r="P541" s="21"/>
      <c r="Q541" s="21"/>
      <c r="R541" s="21"/>
    </row>
    <row r="542" spans="1:18" s="1" customFormat="1">
      <c r="A542" s="282"/>
      <c r="B542" s="21"/>
      <c r="C542" s="21"/>
      <c r="D542" s="141"/>
      <c r="E542" s="108"/>
      <c r="F542" s="22"/>
      <c r="G542" s="219"/>
      <c r="H542" s="165"/>
      <c r="I542" s="21"/>
      <c r="J542" s="21"/>
      <c r="K542" s="182"/>
      <c r="L542" s="21"/>
      <c r="M542" s="21"/>
      <c r="N542" s="21"/>
      <c r="O542" s="21"/>
      <c r="P542" s="21"/>
      <c r="Q542" s="21"/>
      <c r="R542" s="21"/>
    </row>
    <row r="543" spans="1:18" s="1" customFormat="1">
      <c r="A543" s="282"/>
      <c r="B543" s="21"/>
      <c r="C543" s="21"/>
      <c r="D543" s="141"/>
      <c r="E543" s="108"/>
      <c r="F543" s="22"/>
      <c r="G543" s="219"/>
      <c r="H543" s="165"/>
      <c r="I543" s="21"/>
      <c r="J543" s="21"/>
      <c r="K543" s="182"/>
      <c r="L543" s="21"/>
      <c r="M543" s="21"/>
      <c r="N543" s="21"/>
      <c r="O543" s="21"/>
      <c r="P543" s="21"/>
      <c r="Q543" s="21"/>
      <c r="R543" s="21"/>
    </row>
    <row r="544" spans="1:18" s="1" customFormat="1">
      <c r="A544" s="282"/>
      <c r="B544" s="21"/>
      <c r="C544" s="21"/>
      <c r="D544" s="141"/>
      <c r="E544" s="108"/>
      <c r="F544" s="22"/>
      <c r="G544" s="219"/>
      <c r="H544" s="165"/>
      <c r="I544" s="21"/>
      <c r="J544" s="21"/>
      <c r="K544" s="182"/>
      <c r="L544" s="21"/>
      <c r="M544" s="21"/>
      <c r="N544" s="21"/>
      <c r="O544" s="21"/>
      <c r="P544" s="21"/>
      <c r="Q544" s="21"/>
      <c r="R544" s="21"/>
    </row>
    <row r="545" spans="1:18" s="1" customFormat="1">
      <c r="A545" s="282"/>
      <c r="B545" s="21"/>
      <c r="C545" s="21"/>
      <c r="D545" s="141"/>
      <c r="E545" s="108"/>
      <c r="F545" s="22"/>
      <c r="G545" s="219"/>
      <c r="H545" s="165"/>
      <c r="I545" s="21"/>
      <c r="J545" s="21"/>
      <c r="K545" s="182"/>
      <c r="L545" s="21"/>
      <c r="M545" s="21"/>
      <c r="N545" s="21"/>
      <c r="O545" s="21"/>
      <c r="P545" s="21"/>
      <c r="Q545" s="21"/>
      <c r="R545" s="21"/>
    </row>
    <row r="546" spans="1:18" s="1" customFormat="1">
      <c r="A546" s="282"/>
      <c r="B546" s="21"/>
      <c r="C546" s="21"/>
      <c r="D546" s="141"/>
      <c r="E546" s="108"/>
      <c r="F546" s="22"/>
      <c r="G546" s="219"/>
      <c r="H546" s="165"/>
      <c r="I546" s="21"/>
      <c r="J546" s="21"/>
      <c r="K546" s="182"/>
      <c r="L546" s="21"/>
      <c r="M546" s="21"/>
      <c r="N546" s="21"/>
      <c r="O546" s="21"/>
      <c r="P546" s="21"/>
      <c r="Q546" s="21"/>
      <c r="R546" s="21"/>
    </row>
    <row r="547" spans="1:18" s="1" customFormat="1">
      <c r="A547" s="282"/>
      <c r="B547" s="21"/>
      <c r="C547" s="21"/>
      <c r="D547" s="141"/>
      <c r="E547" s="108"/>
      <c r="F547" s="22"/>
      <c r="G547" s="219"/>
      <c r="H547" s="165"/>
      <c r="I547" s="21"/>
      <c r="J547" s="21"/>
      <c r="K547" s="182"/>
      <c r="L547" s="21"/>
      <c r="M547" s="21"/>
      <c r="N547" s="21"/>
      <c r="O547" s="21"/>
      <c r="P547" s="21"/>
      <c r="Q547" s="21"/>
      <c r="R547" s="21"/>
    </row>
    <row r="548" spans="1:18" s="1" customFormat="1">
      <c r="A548" s="282"/>
      <c r="B548" s="21"/>
      <c r="C548" s="21"/>
      <c r="D548" s="141"/>
      <c r="E548" s="108"/>
      <c r="F548" s="22"/>
      <c r="G548" s="219"/>
      <c r="H548" s="165"/>
      <c r="I548" s="21"/>
      <c r="J548" s="21"/>
      <c r="K548" s="182"/>
      <c r="L548" s="21"/>
      <c r="M548" s="21"/>
      <c r="N548" s="21"/>
      <c r="O548" s="21"/>
      <c r="P548" s="21"/>
      <c r="Q548" s="21"/>
      <c r="R548" s="21"/>
    </row>
    <row r="549" spans="1:18" s="1" customFormat="1">
      <c r="A549" s="282"/>
      <c r="B549" s="21"/>
      <c r="C549" s="21"/>
      <c r="D549" s="141"/>
      <c r="E549" s="108"/>
      <c r="F549" s="22"/>
      <c r="G549" s="219"/>
      <c r="H549" s="165"/>
      <c r="I549" s="21"/>
      <c r="J549" s="21"/>
      <c r="K549" s="182"/>
      <c r="L549" s="21"/>
      <c r="M549" s="21"/>
      <c r="N549" s="21"/>
      <c r="O549" s="21"/>
      <c r="P549" s="21"/>
      <c r="Q549" s="21"/>
      <c r="R549" s="21"/>
    </row>
    <row r="550" spans="1:18" s="1" customFormat="1">
      <c r="A550" s="282"/>
      <c r="B550" s="21"/>
      <c r="C550" s="21"/>
      <c r="D550" s="141"/>
      <c r="E550" s="108"/>
      <c r="F550" s="22"/>
      <c r="G550" s="219"/>
      <c r="H550" s="165"/>
      <c r="I550" s="21"/>
      <c r="J550" s="21"/>
      <c r="K550" s="182"/>
      <c r="L550" s="21"/>
      <c r="M550" s="21"/>
      <c r="N550" s="21"/>
      <c r="O550" s="21"/>
      <c r="P550" s="21"/>
      <c r="Q550" s="21"/>
      <c r="R550" s="21"/>
    </row>
    <row r="551" spans="1:18" s="1" customFormat="1">
      <c r="A551" s="282"/>
      <c r="B551" s="21"/>
      <c r="C551" s="21"/>
      <c r="D551" s="141"/>
      <c r="E551" s="108"/>
      <c r="F551" s="22"/>
      <c r="G551" s="219"/>
      <c r="H551" s="165"/>
      <c r="I551" s="21"/>
      <c r="J551" s="21"/>
      <c r="K551" s="182"/>
      <c r="L551" s="21"/>
      <c r="M551" s="21"/>
      <c r="N551" s="21"/>
      <c r="O551" s="21"/>
      <c r="P551" s="21"/>
      <c r="Q551" s="21"/>
      <c r="R551" s="21"/>
    </row>
    <row r="552" spans="1:18" s="1" customFormat="1">
      <c r="A552" s="282"/>
      <c r="B552" s="21"/>
      <c r="C552" s="21"/>
      <c r="D552" s="141"/>
      <c r="E552" s="108"/>
      <c r="F552" s="22"/>
      <c r="G552" s="219"/>
      <c r="H552" s="165"/>
      <c r="I552" s="21"/>
      <c r="J552" s="21"/>
      <c r="K552" s="182"/>
      <c r="L552" s="21"/>
      <c r="M552" s="21"/>
      <c r="N552" s="21"/>
      <c r="O552" s="21"/>
      <c r="P552" s="21"/>
      <c r="Q552" s="21"/>
      <c r="R552" s="21"/>
    </row>
    <row r="553" spans="1:18" s="1" customFormat="1">
      <c r="A553" s="282"/>
      <c r="B553" s="21"/>
      <c r="C553" s="21"/>
      <c r="D553" s="141"/>
      <c r="E553" s="108"/>
      <c r="F553" s="22"/>
      <c r="G553" s="219"/>
      <c r="H553" s="165"/>
      <c r="I553" s="21"/>
      <c r="J553" s="21"/>
      <c r="K553" s="182"/>
      <c r="L553" s="21"/>
      <c r="M553" s="21"/>
      <c r="N553" s="21"/>
      <c r="O553" s="21"/>
      <c r="P553" s="21"/>
      <c r="Q553" s="21"/>
      <c r="R553" s="21"/>
    </row>
    <row r="554" spans="1:18" s="1" customFormat="1">
      <c r="A554" s="282"/>
      <c r="B554" s="21"/>
      <c r="C554" s="21"/>
      <c r="D554" s="141"/>
      <c r="E554" s="108"/>
      <c r="F554" s="22"/>
      <c r="G554" s="219"/>
      <c r="H554" s="165"/>
      <c r="I554" s="21"/>
      <c r="J554" s="21"/>
      <c r="K554" s="182"/>
      <c r="L554" s="21"/>
      <c r="M554" s="21"/>
      <c r="N554" s="21"/>
      <c r="O554" s="21"/>
      <c r="P554" s="21"/>
      <c r="Q554" s="21"/>
      <c r="R554" s="21"/>
    </row>
    <row r="555" spans="1:18" s="1" customFormat="1">
      <c r="A555" s="282"/>
      <c r="B555" s="21"/>
      <c r="C555" s="21"/>
      <c r="D555" s="141"/>
      <c r="E555" s="108"/>
      <c r="F555" s="22"/>
      <c r="G555" s="219"/>
      <c r="H555" s="165"/>
      <c r="I555" s="21"/>
      <c r="J555" s="21"/>
      <c r="K555" s="182"/>
      <c r="L555" s="21"/>
      <c r="M555" s="21"/>
      <c r="N555" s="21"/>
      <c r="O555" s="21"/>
      <c r="P555" s="21"/>
      <c r="Q555" s="21"/>
      <c r="R555" s="21"/>
    </row>
    <row r="556" spans="1:18" s="1" customFormat="1">
      <c r="A556" s="282"/>
      <c r="B556" s="21"/>
      <c r="C556" s="21"/>
      <c r="D556" s="141"/>
      <c r="E556" s="108"/>
      <c r="F556" s="22"/>
      <c r="G556" s="219"/>
      <c r="H556" s="165"/>
      <c r="I556" s="21"/>
      <c r="J556" s="21"/>
      <c r="K556" s="182"/>
      <c r="L556" s="21"/>
      <c r="M556" s="21"/>
      <c r="N556" s="21"/>
      <c r="O556" s="21"/>
      <c r="P556" s="21"/>
      <c r="Q556" s="21"/>
      <c r="R556" s="21"/>
    </row>
    <row r="557" spans="1:18" s="1" customFormat="1">
      <c r="A557" s="282"/>
      <c r="B557" s="21"/>
      <c r="C557" s="21"/>
      <c r="D557" s="141"/>
      <c r="E557" s="108"/>
      <c r="F557" s="22"/>
      <c r="G557" s="219"/>
      <c r="H557" s="165"/>
      <c r="I557" s="21"/>
      <c r="J557" s="21"/>
      <c r="K557" s="182"/>
      <c r="L557" s="21"/>
      <c r="M557" s="21"/>
      <c r="N557" s="21"/>
      <c r="O557" s="21"/>
      <c r="P557" s="21"/>
      <c r="Q557" s="21"/>
      <c r="R557" s="21"/>
    </row>
    <row r="558" spans="1:18" s="1" customFormat="1">
      <c r="A558" s="282"/>
      <c r="B558" s="21"/>
      <c r="C558" s="21"/>
      <c r="D558" s="141"/>
      <c r="E558" s="108"/>
      <c r="F558" s="22"/>
      <c r="G558" s="219"/>
      <c r="H558" s="165"/>
      <c r="I558" s="21"/>
      <c r="J558" s="21"/>
      <c r="K558" s="182"/>
      <c r="L558" s="21"/>
      <c r="M558" s="21"/>
      <c r="N558" s="21"/>
      <c r="O558" s="21"/>
      <c r="P558" s="21"/>
      <c r="Q558" s="21"/>
      <c r="R558" s="21"/>
    </row>
    <row r="559" spans="1:18" s="1" customFormat="1">
      <c r="A559" s="282"/>
      <c r="B559" s="21"/>
      <c r="C559" s="21"/>
      <c r="D559" s="141"/>
      <c r="E559" s="108"/>
      <c r="F559" s="22"/>
      <c r="G559" s="219"/>
      <c r="H559" s="165"/>
      <c r="I559" s="21"/>
      <c r="J559" s="21"/>
      <c r="K559" s="182"/>
      <c r="L559" s="21"/>
      <c r="M559" s="21"/>
      <c r="N559" s="21"/>
      <c r="O559" s="21"/>
      <c r="P559" s="21"/>
      <c r="Q559" s="21"/>
      <c r="R559" s="21"/>
    </row>
    <row r="560" spans="1:18" s="1" customFormat="1">
      <c r="A560" s="282"/>
      <c r="B560" s="21"/>
      <c r="C560" s="21"/>
      <c r="D560" s="141"/>
      <c r="E560" s="108"/>
      <c r="F560" s="22"/>
      <c r="G560" s="219"/>
      <c r="H560" s="165"/>
      <c r="I560" s="21"/>
      <c r="J560" s="21"/>
      <c r="K560" s="182"/>
      <c r="L560" s="21"/>
      <c r="M560" s="21"/>
      <c r="N560" s="21"/>
      <c r="O560" s="21"/>
      <c r="P560" s="21"/>
      <c r="Q560" s="21"/>
      <c r="R560" s="21"/>
    </row>
    <row r="561" spans="1:18" s="1" customFormat="1">
      <c r="A561" s="282"/>
      <c r="B561" s="21"/>
      <c r="C561" s="21"/>
      <c r="D561" s="141"/>
      <c r="E561" s="108"/>
      <c r="F561" s="22"/>
      <c r="G561" s="219"/>
      <c r="H561" s="165"/>
      <c r="I561" s="21"/>
      <c r="J561" s="21"/>
      <c r="K561" s="182"/>
      <c r="L561" s="21"/>
      <c r="M561" s="21"/>
      <c r="N561" s="21"/>
      <c r="O561" s="21"/>
      <c r="P561" s="21"/>
      <c r="Q561" s="21"/>
      <c r="R561" s="21"/>
    </row>
    <row r="562" spans="1:18" s="1" customFormat="1">
      <c r="A562" s="282"/>
      <c r="B562" s="21"/>
      <c r="C562" s="21"/>
      <c r="D562" s="141"/>
      <c r="E562" s="108"/>
      <c r="F562" s="22"/>
      <c r="G562" s="219"/>
      <c r="H562" s="165"/>
      <c r="I562" s="21"/>
      <c r="J562" s="21"/>
      <c r="K562" s="182"/>
      <c r="L562" s="21"/>
      <c r="M562" s="21"/>
      <c r="N562" s="21"/>
      <c r="O562" s="21"/>
      <c r="P562" s="21"/>
      <c r="Q562" s="21"/>
      <c r="R562" s="21"/>
    </row>
    <row r="563" spans="1:18" s="1" customFormat="1">
      <c r="A563" s="282"/>
      <c r="B563" s="21"/>
      <c r="C563" s="21"/>
      <c r="D563" s="141"/>
      <c r="E563" s="108"/>
      <c r="F563" s="22"/>
      <c r="G563" s="219"/>
      <c r="H563" s="165"/>
      <c r="I563" s="21"/>
      <c r="J563" s="21"/>
      <c r="K563" s="182"/>
      <c r="L563" s="21"/>
      <c r="M563" s="21"/>
      <c r="N563" s="21"/>
      <c r="O563" s="21"/>
      <c r="P563" s="21"/>
      <c r="Q563" s="21"/>
      <c r="R563" s="21"/>
    </row>
    <row r="564" spans="1:18" s="1" customFormat="1">
      <c r="A564" s="282"/>
      <c r="B564" s="21"/>
      <c r="C564" s="21"/>
      <c r="D564" s="141"/>
      <c r="E564" s="108"/>
      <c r="F564" s="22"/>
      <c r="G564" s="219"/>
      <c r="H564" s="165"/>
      <c r="I564" s="21"/>
      <c r="J564" s="21"/>
      <c r="K564" s="182"/>
      <c r="L564" s="21"/>
      <c r="M564" s="21"/>
      <c r="N564" s="21"/>
      <c r="O564" s="21"/>
      <c r="P564" s="21"/>
      <c r="Q564" s="21"/>
      <c r="R564" s="21"/>
    </row>
    <row r="565" spans="1:18" s="1" customFormat="1">
      <c r="A565" s="282"/>
      <c r="B565" s="21"/>
      <c r="C565" s="21"/>
      <c r="D565" s="141"/>
      <c r="E565" s="108"/>
      <c r="F565" s="22"/>
      <c r="G565" s="219"/>
      <c r="H565" s="165"/>
      <c r="I565" s="21"/>
      <c r="J565" s="21"/>
      <c r="K565" s="182"/>
      <c r="L565" s="21"/>
      <c r="M565" s="21"/>
      <c r="N565" s="21"/>
      <c r="O565" s="21"/>
      <c r="P565" s="21"/>
      <c r="Q565" s="21"/>
      <c r="R565" s="21"/>
    </row>
    <row r="566" spans="1:18" s="1" customFormat="1">
      <c r="A566" s="282"/>
      <c r="B566" s="21"/>
      <c r="C566" s="21"/>
      <c r="D566" s="141"/>
      <c r="E566" s="108"/>
      <c r="F566" s="22"/>
      <c r="G566" s="219"/>
      <c r="H566" s="165"/>
      <c r="I566" s="21"/>
      <c r="J566" s="21"/>
      <c r="K566" s="182"/>
      <c r="L566" s="21"/>
      <c r="M566" s="21"/>
      <c r="N566" s="21"/>
      <c r="O566" s="21"/>
      <c r="P566" s="21"/>
      <c r="Q566" s="21"/>
      <c r="R566" s="21"/>
    </row>
    <row r="567" spans="1:18" s="1" customFormat="1">
      <c r="A567" s="282"/>
      <c r="B567" s="21"/>
      <c r="C567" s="21"/>
      <c r="D567" s="141"/>
      <c r="E567" s="108"/>
      <c r="F567" s="22"/>
      <c r="G567" s="219"/>
      <c r="H567" s="165"/>
      <c r="I567" s="21"/>
      <c r="J567" s="21"/>
      <c r="K567" s="182"/>
      <c r="L567" s="21"/>
      <c r="M567" s="21"/>
      <c r="N567" s="21"/>
      <c r="O567" s="21"/>
      <c r="P567" s="21"/>
      <c r="Q567" s="21"/>
      <c r="R567" s="21"/>
    </row>
    <row r="568" spans="1:18" s="1" customFormat="1">
      <c r="A568" s="282"/>
      <c r="B568" s="21"/>
      <c r="C568" s="21"/>
      <c r="D568" s="141"/>
      <c r="E568" s="108"/>
      <c r="F568" s="22"/>
      <c r="G568" s="219"/>
      <c r="H568" s="165"/>
      <c r="I568" s="21"/>
      <c r="J568" s="21"/>
      <c r="K568" s="182"/>
      <c r="L568" s="21"/>
      <c r="M568" s="21"/>
      <c r="N568" s="21"/>
      <c r="O568" s="21"/>
      <c r="P568" s="21"/>
      <c r="Q568" s="21"/>
      <c r="R568" s="21"/>
    </row>
    <row r="569" spans="1:18" s="1" customFormat="1">
      <c r="A569" s="282"/>
      <c r="B569" s="21"/>
      <c r="C569" s="21"/>
      <c r="D569" s="141"/>
      <c r="E569" s="108"/>
      <c r="F569" s="22"/>
      <c r="G569" s="219"/>
      <c r="H569" s="165"/>
      <c r="I569" s="21"/>
      <c r="J569" s="21"/>
      <c r="K569" s="182"/>
      <c r="L569" s="21"/>
      <c r="M569" s="21"/>
      <c r="N569" s="21"/>
      <c r="O569" s="21"/>
      <c r="P569" s="21"/>
      <c r="Q569" s="21"/>
      <c r="R569" s="21"/>
    </row>
    <row r="570" spans="1:18" s="1" customFormat="1">
      <c r="A570" s="282"/>
      <c r="B570" s="21"/>
      <c r="C570" s="21"/>
      <c r="D570" s="141"/>
      <c r="E570" s="108"/>
      <c r="F570" s="22"/>
      <c r="G570" s="219"/>
      <c r="H570" s="165"/>
      <c r="I570" s="21"/>
      <c r="J570" s="21"/>
      <c r="K570" s="182"/>
      <c r="L570" s="21"/>
      <c r="M570" s="21"/>
      <c r="N570" s="21"/>
      <c r="O570" s="21"/>
      <c r="P570" s="21"/>
      <c r="Q570" s="21"/>
      <c r="R570" s="21"/>
    </row>
    <row r="571" spans="1:18" s="1" customFormat="1">
      <c r="A571" s="282"/>
      <c r="B571" s="21"/>
      <c r="C571" s="21"/>
      <c r="D571" s="141"/>
      <c r="E571" s="108"/>
      <c r="F571" s="22"/>
      <c r="G571" s="219"/>
      <c r="H571" s="165"/>
      <c r="I571" s="21"/>
      <c r="J571" s="21"/>
      <c r="K571" s="182"/>
      <c r="L571" s="21"/>
      <c r="M571" s="21"/>
      <c r="N571" s="21"/>
      <c r="O571" s="21"/>
      <c r="P571" s="21"/>
      <c r="Q571" s="21"/>
      <c r="R571" s="21"/>
    </row>
    <row r="572" spans="1:18" s="1" customFormat="1">
      <c r="A572" s="282"/>
      <c r="B572" s="21"/>
      <c r="C572" s="21"/>
      <c r="D572" s="141"/>
      <c r="E572" s="108"/>
      <c r="F572" s="22"/>
      <c r="G572" s="219"/>
      <c r="H572" s="165"/>
      <c r="I572" s="21"/>
      <c r="J572" s="21"/>
      <c r="K572" s="182"/>
      <c r="L572" s="21"/>
      <c r="M572" s="21"/>
      <c r="N572" s="21"/>
      <c r="O572" s="21"/>
      <c r="P572" s="21"/>
      <c r="Q572" s="21"/>
      <c r="R572" s="21"/>
    </row>
    <row r="573" spans="1:18" s="1" customFormat="1">
      <c r="A573" s="282"/>
      <c r="B573" s="21"/>
      <c r="C573" s="21"/>
      <c r="D573" s="141"/>
      <c r="E573" s="108"/>
      <c r="F573" s="22"/>
      <c r="G573" s="219"/>
      <c r="H573" s="165"/>
      <c r="I573" s="21"/>
      <c r="J573" s="21"/>
      <c r="K573" s="182"/>
      <c r="L573" s="21"/>
      <c r="M573" s="21"/>
      <c r="N573" s="21"/>
      <c r="O573" s="21"/>
      <c r="P573" s="21"/>
      <c r="Q573" s="21"/>
      <c r="R573" s="21"/>
    </row>
    <row r="574" spans="1:18" s="1" customFormat="1">
      <c r="A574" s="282"/>
      <c r="B574" s="21"/>
      <c r="C574" s="21"/>
      <c r="D574" s="141"/>
      <c r="E574" s="108"/>
      <c r="F574" s="22"/>
      <c r="G574" s="219"/>
      <c r="H574" s="165"/>
      <c r="I574" s="21"/>
      <c r="J574" s="21"/>
      <c r="K574" s="182"/>
      <c r="L574" s="21"/>
      <c r="M574" s="21"/>
      <c r="N574" s="21"/>
      <c r="O574" s="21"/>
      <c r="P574" s="21"/>
      <c r="Q574" s="21"/>
      <c r="R574" s="21"/>
    </row>
    <row r="575" spans="1:18" s="1" customFormat="1">
      <c r="A575" s="282"/>
      <c r="B575" s="21"/>
      <c r="C575" s="21"/>
      <c r="D575" s="141"/>
      <c r="E575" s="108"/>
      <c r="F575" s="22"/>
      <c r="G575" s="219"/>
      <c r="H575" s="165"/>
      <c r="I575" s="21"/>
      <c r="J575" s="21"/>
      <c r="K575" s="182"/>
      <c r="L575" s="21"/>
      <c r="M575" s="21"/>
      <c r="N575" s="21"/>
      <c r="O575" s="21"/>
      <c r="P575" s="21"/>
      <c r="Q575" s="21"/>
      <c r="R575" s="21"/>
    </row>
    <row r="576" spans="1:18" s="1" customFormat="1">
      <c r="A576" s="282"/>
      <c r="B576" s="21"/>
      <c r="C576" s="21"/>
      <c r="D576" s="141"/>
      <c r="E576" s="108"/>
      <c r="F576" s="22"/>
      <c r="G576" s="219"/>
      <c r="H576" s="165"/>
      <c r="I576" s="21"/>
      <c r="J576" s="21"/>
      <c r="K576" s="182"/>
      <c r="L576" s="21"/>
      <c r="M576" s="21"/>
      <c r="N576" s="21"/>
      <c r="O576" s="21"/>
      <c r="P576" s="21"/>
      <c r="Q576" s="21"/>
      <c r="R576" s="21"/>
    </row>
    <row r="577" spans="1:18" s="1" customFormat="1">
      <c r="A577" s="282"/>
      <c r="B577" s="21"/>
      <c r="C577" s="21"/>
      <c r="D577" s="141"/>
      <c r="E577" s="108"/>
      <c r="F577" s="22"/>
      <c r="G577" s="219"/>
      <c r="H577" s="165"/>
      <c r="I577" s="21"/>
      <c r="J577" s="21"/>
      <c r="K577" s="182"/>
      <c r="L577" s="21"/>
      <c r="M577" s="21"/>
      <c r="N577" s="21"/>
      <c r="O577" s="21"/>
      <c r="P577" s="21"/>
      <c r="Q577" s="21"/>
      <c r="R577" s="21"/>
    </row>
    <row r="578" spans="1:18" s="1" customFormat="1">
      <c r="A578" s="282"/>
      <c r="B578" s="21"/>
      <c r="C578" s="21"/>
      <c r="D578" s="141"/>
      <c r="E578" s="108"/>
      <c r="F578" s="22"/>
      <c r="G578" s="219"/>
      <c r="H578" s="165"/>
      <c r="I578" s="21"/>
      <c r="J578" s="21"/>
      <c r="K578" s="182"/>
      <c r="L578" s="21"/>
      <c r="M578" s="21"/>
      <c r="N578" s="21"/>
      <c r="O578" s="21"/>
      <c r="P578" s="21"/>
      <c r="Q578" s="21"/>
      <c r="R578" s="21"/>
    </row>
    <row r="579" spans="1:18" s="1" customFormat="1">
      <c r="A579" s="282"/>
      <c r="B579" s="21"/>
      <c r="C579" s="21"/>
      <c r="D579" s="141"/>
      <c r="E579" s="108"/>
      <c r="F579" s="22"/>
      <c r="G579" s="219"/>
      <c r="H579" s="165"/>
      <c r="I579" s="21"/>
      <c r="J579" s="21"/>
      <c r="K579" s="182"/>
      <c r="L579" s="21"/>
      <c r="M579" s="21"/>
      <c r="N579" s="21"/>
      <c r="O579" s="21"/>
      <c r="P579" s="21"/>
      <c r="Q579" s="21"/>
      <c r="R579" s="21"/>
    </row>
    <row r="580" spans="1:18" s="1" customFormat="1">
      <c r="A580" s="282"/>
      <c r="B580" s="21"/>
      <c r="C580" s="21"/>
      <c r="D580" s="141"/>
      <c r="E580" s="108"/>
      <c r="F580" s="22"/>
      <c r="G580" s="219"/>
      <c r="H580" s="165"/>
      <c r="I580" s="21"/>
      <c r="J580" s="21"/>
      <c r="K580" s="182"/>
      <c r="L580" s="21"/>
      <c r="M580" s="21"/>
      <c r="N580" s="21"/>
      <c r="O580" s="21"/>
      <c r="P580" s="21"/>
      <c r="Q580" s="21"/>
      <c r="R580" s="21"/>
    </row>
    <row r="581" spans="1:18" s="1" customFormat="1">
      <c r="A581" s="282"/>
      <c r="B581" s="21"/>
      <c r="C581" s="21"/>
      <c r="D581" s="141"/>
      <c r="E581" s="108"/>
      <c r="F581" s="22"/>
      <c r="G581" s="219"/>
      <c r="H581" s="165"/>
      <c r="I581" s="21"/>
      <c r="J581" s="21"/>
      <c r="K581" s="182"/>
      <c r="L581" s="21"/>
      <c r="M581" s="21"/>
      <c r="N581" s="21"/>
      <c r="O581" s="21"/>
      <c r="P581" s="21"/>
      <c r="Q581" s="21"/>
      <c r="R581" s="21"/>
    </row>
    <row r="582" spans="1:18" s="1" customFormat="1">
      <c r="A582" s="282"/>
      <c r="B582" s="21"/>
      <c r="C582" s="21"/>
      <c r="D582" s="141"/>
      <c r="E582" s="108"/>
      <c r="F582" s="22"/>
      <c r="G582" s="219"/>
      <c r="H582" s="165"/>
      <c r="I582" s="21"/>
      <c r="J582" s="21"/>
      <c r="K582" s="182"/>
      <c r="L582" s="21"/>
      <c r="M582" s="21"/>
      <c r="N582" s="21"/>
      <c r="O582" s="21"/>
      <c r="P582" s="21"/>
      <c r="Q582" s="21"/>
      <c r="R582" s="21"/>
    </row>
    <row r="583" spans="1:18" s="1" customFormat="1">
      <c r="A583" s="282"/>
      <c r="B583" s="21"/>
      <c r="C583" s="21"/>
      <c r="D583" s="141"/>
      <c r="E583" s="108"/>
      <c r="F583" s="22"/>
      <c r="G583" s="219"/>
      <c r="H583" s="165"/>
      <c r="I583" s="21"/>
      <c r="J583" s="21"/>
      <c r="K583" s="182"/>
      <c r="L583" s="21"/>
      <c r="M583" s="21"/>
      <c r="N583" s="21"/>
      <c r="O583" s="21"/>
      <c r="P583" s="21"/>
      <c r="Q583" s="21"/>
      <c r="R583" s="21"/>
    </row>
    <row r="584" spans="1:18" s="1" customFormat="1">
      <c r="A584" s="282"/>
      <c r="B584" s="21"/>
      <c r="C584" s="21"/>
      <c r="D584" s="141"/>
      <c r="E584" s="108"/>
      <c r="F584" s="22"/>
      <c r="G584" s="219"/>
      <c r="H584" s="165"/>
      <c r="I584" s="21"/>
      <c r="J584" s="21"/>
      <c r="K584" s="182"/>
      <c r="L584" s="21"/>
      <c r="M584" s="21"/>
      <c r="N584" s="21"/>
      <c r="O584" s="21"/>
      <c r="P584" s="21"/>
      <c r="Q584" s="21"/>
      <c r="R584" s="21"/>
    </row>
    <row r="585" spans="1:18" s="1" customFormat="1">
      <c r="A585" s="282"/>
      <c r="B585" s="21"/>
      <c r="C585" s="21"/>
      <c r="D585" s="141"/>
      <c r="E585" s="108"/>
      <c r="F585" s="22"/>
      <c r="G585" s="219"/>
      <c r="H585" s="165"/>
      <c r="I585" s="21"/>
      <c r="J585" s="21"/>
      <c r="K585" s="182"/>
      <c r="L585" s="21"/>
      <c r="M585" s="21"/>
      <c r="N585" s="21"/>
      <c r="O585" s="21"/>
      <c r="P585" s="21"/>
      <c r="Q585" s="21"/>
      <c r="R585" s="21"/>
    </row>
    <row r="586" spans="1:18" s="1" customFormat="1">
      <c r="A586" s="282"/>
      <c r="B586" s="21"/>
      <c r="C586" s="21"/>
      <c r="D586" s="141"/>
      <c r="E586" s="108"/>
      <c r="F586" s="22"/>
      <c r="G586" s="219"/>
      <c r="H586" s="165"/>
      <c r="I586" s="21"/>
      <c r="J586" s="21"/>
      <c r="K586" s="182"/>
      <c r="L586" s="21"/>
      <c r="M586" s="21"/>
      <c r="N586" s="21"/>
      <c r="O586" s="21"/>
      <c r="P586" s="21"/>
      <c r="Q586" s="21"/>
      <c r="R586" s="21"/>
    </row>
    <row r="587" spans="1:18" s="1" customFormat="1">
      <c r="A587" s="282"/>
      <c r="B587" s="21"/>
      <c r="C587" s="21"/>
      <c r="D587" s="141"/>
      <c r="E587" s="108"/>
      <c r="F587" s="22"/>
      <c r="G587" s="219"/>
      <c r="H587" s="165"/>
      <c r="I587" s="21"/>
      <c r="J587" s="21"/>
      <c r="K587" s="182"/>
      <c r="L587" s="21"/>
      <c r="M587" s="21"/>
      <c r="N587" s="21"/>
      <c r="O587" s="21"/>
      <c r="P587" s="21"/>
      <c r="Q587" s="21"/>
      <c r="R587" s="21"/>
    </row>
    <row r="588" spans="1:18" s="1" customFormat="1">
      <c r="A588" s="282"/>
      <c r="B588" s="21"/>
      <c r="C588" s="21"/>
      <c r="D588" s="141"/>
      <c r="E588" s="108"/>
      <c r="F588" s="22"/>
      <c r="G588" s="219"/>
      <c r="H588" s="165"/>
      <c r="I588" s="21"/>
      <c r="J588" s="21"/>
      <c r="K588" s="182"/>
      <c r="L588" s="21"/>
      <c r="M588" s="21"/>
      <c r="N588" s="21"/>
      <c r="O588" s="21"/>
      <c r="P588" s="21"/>
      <c r="Q588" s="21"/>
      <c r="R588" s="21"/>
    </row>
    <row r="589" spans="1:18" s="1" customFormat="1">
      <c r="A589" s="282"/>
      <c r="B589" s="21"/>
      <c r="C589" s="21"/>
      <c r="D589" s="141"/>
      <c r="E589" s="108"/>
      <c r="F589" s="22"/>
      <c r="G589" s="219"/>
      <c r="H589" s="165"/>
      <c r="I589" s="21"/>
      <c r="J589" s="21"/>
      <c r="K589" s="182"/>
      <c r="L589" s="21"/>
      <c r="M589" s="21"/>
      <c r="N589" s="21"/>
      <c r="O589" s="21"/>
      <c r="P589" s="21"/>
      <c r="Q589" s="21"/>
      <c r="R589" s="21"/>
    </row>
    <row r="590" spans="1:18" s="1" customFormat="1">
      <c r="A590" s="282"/>
      <c r="B590" s="21"/>
      <c r="C590" s="21"/>
      <c r="D590" s="141"/>
      <c r="E590" s="108"/>
      <c r="F590" s="22"/>
      <c r="G590" s="219"/>
      <c r="H590" s="165"/>
      <c r="I590" s="21"/>
      <c r="J590" s="21"/>
      <c r="K590" s="182"/>
      <c r="L590" s="21"/>
      <c r="M590" s="21"/>
      <c r="N590" s="21"/>
      <c r="O590" s="21"/>
      <c r="P590" s="21"/>
      <c r="Q590" s="21"/>
      <c r="R590" s="21"/>
    </row>
    <row r="591" spans="1:18" s="1" customFormat="1">
      <c r="A591" s="282"/>
      <c r="B591" s="21"/>
      <c r="C591" s="21"/>
      <c r="D591" s="141"/>
      <c r="E591" s="108"/>
      <c r="F591" s="22"/>
      <c r="G591" s="219"/>
      <c r="H591" s="165"/>
      <c r="I591" s="21"/>
      <c r="J591" s="21"/>
      <c r="K591" s="182"/>
      <c r="L591" s="21"/>
      <c r="M591" s="21"/>
      <c r="N591" s="21"/>
      <c r="O591" s="21"/>
      <c r="P591" s="21"/>
      <c r="Q591" s="21"/>
      <c r="R591" s="21"/>
    </row>
    <row r="592" spans="1:18" s="1" customFormat="1">
      <c r="A592" s="282"/>
      <c r="B592" s="21"/>
      <c r="C592" s="21"/>
      <c r="D592" s="141"/>
      <c r="E592" s="108"/>
      <c r="F592" s="22"/>
      <c r="G592" s="219"/>
      <c r="H592" s="165"/>
      <c r="I592" s="21"/>
      <c r="J592" s="21"/>
      <c r="K592" s="182"/>
      <c r="L592" s="21"/>
      <c r="M592" s="21"/>
      <c r="N592" s="21"/>
      <c r="O592" s="21"/>
      <c r="P592" s="21"/>
      <c r="Q592" s="21"/>
      <c r="R592" s="21"/>
    </row>
    <row r="593" spans="1:18" s="1" customFormat="1">
      <c r="A593" s="282"/>
      <c r="B593" s="21"/>
      <c r="C593" s="21"/>
      <c r="D593" s="141"/>
      <c r="E593" s="108"/>
      <c r="F593" s="22"/>
      <c r="G593" s="219"/>
      <c r="H593" s="165"/>
      <c r="I593" s="21"/>
      <c r="J593" s="21"/>
      <c r="K593" s="182"/>
      <c r="L593" s="21"/>
      <c r="M593" s="21"/>
      <c r="N593" s="21"/>
      <c r="O593" s="21"/>
      <c r="P593" s="21"/>
      <c r="Q593" s="21"/>
      <c r="R593" s="21"/>
    </row>
    <row r="594" spans="1:18" s="1" customFormat="1">
      <c r="A594" s="282"/>
      <c r="B594" s="21"/>
      <c r="C594" s="21"/>
      <c r="D594" s="141"/>
      <c r="E594" s="108"/>
      <c r="F594" s="22"/>
      <c r="G594" s="219"/>
      <c r="H594" s="165"/>
      <c r="I594" s="21"/>
      <c r="J594" s="21"/>
      <c r="K594" s="182"/>
      <c r="L594" s="21"/>
      <c r="M594" s="21"/>
      <c r="N594" s="21"/>
      <c r="O594" s="21"/>
      <c r="P594" s="21"/>
      <c r="Q594" s="21"/>
      <c r="R594" s="21"/>
    </row>
    <row r="595" spans="1:18" s="1" customFormat="1">
      <c r="A595" s="282"/>
      <c r="B595" s="21"/>
      <c r="C595" s="21"/>
      <c r="D595" s="141"/>
      <c r="E595" s="108"/>
      <c r="F595" s="22"/>
      <c r="G595" s="219"/>
      <c r="H595" s="165"/>
      <c r="I595" s="21"/>
      <c r="J595" s="21"/>
      <c r="K595" s="182"/>
      <c r="L595" s="21"/>
      <c r="M595" s="21"/>
      <c r="N595" s="21"/>
      <c r="O595" s="21"/>
      <c r="P595" s="21"/>
      <c r="Q595" s="21"/>
      <c r="R595" s="21"/>
    </row>
    <row r="596" spans="1:18" s="1" customFormat="1">
      <c r="A596" s="282"/>
      <c r="B596" s="21"/>
      <c r="C596" s="21"/>
      <c r="D596" s="141"/>
      <c r="E596" s="108"/>
      <c r="F596" s="22"/>
      <c r="G596" s="219"/>
      <c r="H596" s="165"/>
      <c r="I596" s="21"/>
      <c r="J596" s="21"/>
      <c r="K596" s="182"/>
      <c r="L596" s="21"/>
      <c r="M596" s="21"/>
      <c r="N596" s="21"/>
      <c r="O596" s="21"/>
      <c r="P596" s="21"/>
      <c r="Q596" s="21"/>
      <c r="R596" s="21"/>
    </row>
    <row r="597" spans="1:18" s="1" customFormat="1">
      <c r="A597" s="282"/>
      <c r="B597" s="21"/>
      <c r="C597" s="21"/>
      <c r="D597" s="141"/>
      <c r="E597" s="108"/>
      <c r="F597" s="22"/>
      <c r="G597" s="219"/>
      <c r="H597" s="165"/>
      <c r="I597" s="21"/>
      <c r="J597" s="21"/>
      <c r="K597" s="182"/>
      <c r="L597" s="21"/>
      <c r="M597" s="21"/>
      <c r="N597" s="21"/>
      <c r="O597" s="21"/>
      <c r="P597" s="21"/>
      <c r="Q597" s="21"/>
      <c r="R597" s="21"/>
    </row>
    <row r="598" spans="1:18" s="1" customFormat="1">
      <c r="A598" s="282"/>
      <c r="B598" s="21"/>
      <c r="C598" s="21"/>
      <c r="D598" s="141"/>
      <c r="E598" s="108"/>
      <c r="F598" s="22"/>
      <c r="G598" s="219"/>
      <c r="H598" s="165"/>
      <c r="I598" s="21"/>
      <c r="J598" s="21"/>
      <c r="K598" s="182"/>
      <c r="L598" s="21"/>
      <c r="M598" s="21"/>
      <c r="N598" s="21"/>
      <c r="O598" s="21"/>
      <c r="P598" s="21"/>
      <c r="Q598" s="21"/>
      <c r="R598" s="21"/>
    </row>
    <row r="599" spans="1:18" s="1" customFormat="1">
      <c r="A599" s="282"/>
      <c r="B599" s="21"/>
      <c r="C599" s="21"/>
      <c r="D599" s="141"/>
      <c r="E599" s="108"/>
      <c r="F599" s="22"/>
      <c r="G599" s="219"/>
      <c r="H599" s="165"/>
      <c r="I599" s="21"/>
      <c r="J599" s="21"/>
      <c r="K599" s="182"/>
      <c r="L599" s="21"/>
      <c r="M599" s="21"/>
      <c r="N599" s="21"/>
      <c r="O599" s="21"/>
      <c r="P599" s="21"/>
      <c r="Q599" s="21"/>
      <c r="R599" s="21"/>
    </row>
    <row r="600" spans="1:18" s="1" customFormat="1">
      <c r="A600" s="282"/>
      <c r="B600" s="21"/>
      <c r="C600" s="21"/>
      <c r="D600" s="141"/>
      <c r="E600" s="108"/>
      <c r="F600" s="22"/>
      <c r="G600" s="219"/>
      <c r="H600" s="165"/>
      <c r="I600" s="21"/>
      <c r="J600" s="21"/>
      <c r="K600" s="182"/>
      <c r="L600" s="21"/>
      <c r="M600" s="21"/>
      <c r="N600" s="21"/>
      <c r="O600" s="21"/>
      <c r="P600" s="21"/>
      <c r="Q600" s="21"/>
      <c r="R600" s="21"/>
    </row>
    <row r="601" spans="1:18" s="1" customFormat="1">
      <c r="A601" s="282"/>
      <c r="B601" s="21"/>
      <c r="C601" s="21"/>
      <c r="D601" s="141"/>
      <c r="E601" s="108"/>
      <c r="F601" s="22"/>
      <c r="G601" s="219"/>
      <c r="H601" s="165"/>
      <c r="I601" s="21"/>
      <c r="J601" s="21"/>
      <c r="K601" s="182"/>
      <c r="L601" s="21"/>
      <c r="M601" s="21"/>
      <c r="N601" s="21"/>
      <c r="O601" s="21"/>
      <c r="P601" s="21"/>
      <c r="Q601" s="21"/>
      <c r="R601" s="21"/>
    </row>
    <row r="602" spans="1:18" s="1" customFormat="1">
      <c r="A602" s="282"/>
      <c r="B602" s="21"/>
      <c r="C602" s="21"/>
      <c r="D602" s="141"/>
      <c r="E602" s="108"/>
      <c r="F602" s="22"/>
      <c r="G602" s="219"/>
      <c r="H602" s="165"/>
      <c r="I602" s="21"/>
      <c r="J602" s="21"/>
      <c r="K602" s="182"/>
      <c r="L602" s="21"/>
      <c r="M602" s="21"/>
      <c r="N602" s="21"/>
      <c r="O602" s="21"/>
      <c r="P602" s="21"/>
      <c r="Q602" s="21"/>
      <c r="R602" s="21"/>
    </row>
    <row r="603" spans="1:18" s="1" customFormat="1">
      <c r="A603" s="282"/>
      <c r="B603" s="21"/>
      <c r="C603" s="21"/>
      <c r="D603" s="141"/>
      <c r="E603" s="108"/>
      <c r="F603" s="22"/>
      <c r="G603" s="219"/>
      <c r="H603" s="165"/>
      <c r="I603" s="21"/>
      <c r="J603" s="21"/>
      <c r="K603" s="182"/>
      <c r="L603" s="21"/>
      <c r="M603" s="21"/>
      <c r="N603" s="21"/>
      <c r="O603" s="21"/>
      <c r="P603" s="21"/>
      <c r="Q603" s="21"/>
      <c r="R603" s="21"/>
    </row>
    <row r="604" spans="1:18" s="1" customFormat="1">
      <c r="A604" s="282"/>
      <c r="B604" s="21"/>
      <c r="C604" s="21"/>
      <c r="D604" s="141"/>
      <c r="E604" s="108"/>
      <c r="F604" s="22"/>
      <c r="G604" s="219"/>
      <c r="H604" s="165"/>
      <c r="I604" s="21"/>
      <c r="J604" s="21"/>
      <c r="K604" s="182"/>
      <c r="L604" s="21"/>
      <c r="M604" s="21"/>
      <c r="N604" s="21"/>
      <c r="O604" s="21"/>
      <c r="P604" s="21"/>
      <c r="Q604" s="21"/>
      <c r="R604" s="21"/>
    </row>
    <row r="605" spans="1:18" s="1" customFormat="1">
      <c r="A605" s="282"/>
      <c r="B605" s="21"/>
      <c r="C605" s="21"/>
      <c r="D605" s="141"/>
      <c r="E605" s="108"/>
      <c r="F605" s="22"/>
      <c r="G605" s="219"/>
      <c r="H605" s="165"/>
      <c r="I605" s="21"/>
      <c r="J605" s="21"/>
      <c r="K605" s="182"/>
      <c r="L605" s="21"/>
      <c r="M605" s="21"/>
      <c r="N605" s="21"/>
      <c r="O605" s="21"/>
      <c r="P605" s="21"/>
      <c r="Q605" s="21"/>
      <c r="R605" s="21"/>
    </row>
    <row r="606" spans="1:18" s="1" customFormat="1">
      <c r="A606" s="282"/>
      <c r="B606" s="21"/>
      <c r="C606" s="21"/>
      <c r="D606" s="141"/>
      <c r="E606" s="108"/>
      <c r="F606" s="22"/>
      <c r="G606" s="219"/>
      <c r="H606" s="165"/>
      <c r="I606" s="21"/>
      <c r="J606" s="21"/>
      <c r="K606" s="182"/>
      <c r="L606" s="21"/>
      <c r="M606" s="21"/>
      <c r="N606" s="21"/>
      <c r="O606" s="21"/>
      <c r="P606" s="21"/>
      <c r="Q606" s="21"/>
      <c r="R606" s="21"/>
    </row>
    <row r="607" spans="1:18" s="1" customFormat="1">
      <c r="A607" s="282"/>
      <c r="B607" s="21"/>
      <c r="C607" s="21"/>
      <c r="D607" s="141"/>
      <c r="E607" s="108"/>
      <c r="F607" s="22"/>
      <c r="G607" s="219"/>
      <c r="H607" s="165"/>
      <c r="I607" s="21"/>
      <c r="J607" s="21"/>
      <c r="K607" s="182"/>
      <c r="L607" s="21"/>
      <c r="M607" s="21"/>
      <c r="N607" s="21"/>
      <c r="O607" s="21"/>
      <c r="P607" s="21"/>
      <c r="Q607" s="21"/>
      <c r="R607" s="21"/>
    </row>
    <row r="608" spans="1:18" s="1" customFormat="1">
      <c r="A608" s="282"/>
      <c r="B608" s="21"/>
      <c r="C608" s="21"/>
      <c r="D608" s="141"/>
      <c r="E608" s="108"/>
      <c r="F608" s="22"/>
      <c r="G608" s="219"/>
      <c r="H608" s="165"/>
      <c r="I608" s="21"/>
      <c r="J608" s="21"/>
      <c r="K608" s="182"/>
      <c r="L608" s="21"/>
      <c r="M608" s="21"/>
      <c r="N608" s="21"/>
      <c r="O608" s="21"/>
      <c r="P608" s="21"/>
      <c r="Q608" s="21"/>
      <c r="R608" s="21"/>
    </row>
    <row r="609" spans="1:18" s="1" customFormat="1">
      <c r="A609" s="282"/>
      <c r="B609" s="21"/>
      <c r="C609" s="21"/>
      <c r="D609" s="141"/>
      <c r="E609" s="108"/>
      <c r="F609" s="22"/>
      <c r="G609" s="219"/>
      <c r="H609" s="165"/>
      <c r="I609" s="21"/>
      <c r="J609" s="21"/>
      <c r="K609" s="182"/>
      <c r="L609" s="21"/>
      <c r="M609" s="21"/>
      <c r="N609" s="21"/>
      <c r="O609" s="21"/>
      <c r="P609" s="21"/>
      <c r="Q609" s="21"/>
      <c r="R609" s="21"/>
    </row>
    <row r="610" spans="1:18" s="1" customFormat="1">
      <c r="A610" s="282"/>
      <c r="B610" s="21"/>
      <c r="C610" s="21"/>
      <c r="D610" s="141"/>
      <c r="E610" s="108"/>
      <c r="F610" s="22"/>
      <c r="G610" s="219"/>
      <c r="H610" s="165"/>
      <c r="I610" s="21"/>
      <c r="J610" s="21"/>
      <c r="K610" s="182"/>
      <c r="L610" s="21"/>
      <c r="M610" s="21"/>
      <c r="N610" s="21"/>
      <c r="O610" s="21"/>
      <c r="P610" s="21"/>
      <c r="Q610" s="21"/>
      <c r="R610" s="21"/>
    </row>
    <row r="611" spans="1:18" s="1" customFormat="1">
      <c r="A611" s="282"/>
      <c r="B611" s="21"/>
      <c r="C611" s="21"/>
      <c r="D611" s="141"/>
      <c r="E611" s="108"/>
      <c r="F611" s="22"/>
      <c r="G611" s="219"/>
      <c r="H611" s="165"/>
      <c r="I611" s="21"/>
      <c r="J611" s="21"/>
      <c r="K611" s="182"/>
      <c r="L611" s="21"/>
      <c r="M611" s="21"/>
      <c r="N611" s="21"/>
      <c r="O611" s="21"/>
      <c r="P611" s="21"/>
      <c r="Q611" s="21"/>
      <c r="R611" s="21"/>
    </row>
    <row r="612" spans="1:18" s="1" customFormat="1">
      <c r="A612" s="282"/>
      <c r="B612" s="21"/>
      <c r="C612" s="21"/>
      <c r="D612" s="141"/>
      <c r="E612" s="108"/>
      <c r="F612" s="22"/>
      <c r="G612" s="219"/>
      <c r="H612" s="165"/>
      <c r="I612" s="21"/>
      <c r="J612" s="21"/>
      <c r="K612" s="182"/>
      <c r="L612" s="21"/>
      <c r="M612" s="21"/>
      <c r="N612" s="21"/>
      <c r="O612" s="21"/>
      <c r="P612" s="21"/>
      <c r="Q612" s="21"/>
      <c r="R612" s="21"/>
    </row>
    <row r="613" spans="1:18" s="1" customFormat="1">
      <c r="A613" s="282"/>
      <c r="B613" s="21"/>
      <c r="C613" s="21"/>
      <c r="D613" s="141"/>
      <c r="E613" s="108"/>
      <c r="F613" s="22"/>
      <c r="G613" s="219"/>
      <c r="H613" s="165"/>
      <c r="I613" s="21"/>
      <c r="J613" s="21"/>
      <c r="K613" s="182"/>
      <c r="L613" s="21"/>
      <c r="M613" s="21"/>
      <c r="N613" s="21"/>
      <c r="O613" s="21"/>
      <c r="P613" s="21"/>
      <c r="Q613" s="21"/>
      <c r="R613" s="21"/>
    </row>
    <row r="614" spans="1:18" s="1" customFormat="1">
      <c r="A614" s="282"/>
      <c r="B614" s="21"/>
      <c r="C614" s="21"/>
      <c r="D614" s="141"/>
      <c r="E614" s="108"/>
      <c r="F614" s="22"/>
      <c r="G614" s="219"/>
      <c r="H614" s="165"/>
      <c r="I614" s="21"/>
      <c r="J614" s="21"/>
      <c r="K614" s="182"/>
      <c r="L614" s="21"/>
      <c r="M614" s="21"/>
      <c r="N614" s="21"/>
      <c r="O614" s="21"/>
      <c r="P614" s="21"/>
      <c r="Q614" s="21"/>
      <c r="R614" s="21"/>
    </row>
    <row r="615" spans="1:18" s="1" customFormat="1">
      <c r="A615" s="282"/>
      <c r="B615" s="21"/>
      <c r="C615" s="21"/>
      <c r="D615" s="141"/>
      <c r="E615" s="108"/>
      <c r="F615" s="22"/>
      <c r="G615" s="219"/>
      <c r="H615" s="165"/>
      <c r="I615" s="21"/>
      <c r="J615" s="21"/>
      <c r="K615" s="182"/>
      <c r="L615" s="21"/>
      <c r="M615" s="21"/>
      <c r="N615" s="21"/>
      <c r="O615" s="21"/>
      <c r="P615" s="21"/>
      <c r="Q615" s="21"/>
      <c r="R615" s="21"/>
    </row>
    <row r="616" spans="1:18" s="1" customFormat="1">
      <c r="A616" s="282"/>
      <c r="B616" s="21"/>
      <c r="C616" s="21"/>
      <c r="D616" s="141"/>
      <c r="E616" s="108"/>
      <c r="F616" s="22"/>
      <c r="G616" s="219"/>
      <c r="H616" s="165"/>
      <c r="I616" s="21"/>
      <c r="J616" s="21"/>
      <c r="K616" s="182"/>
      <c r="L616" s="21"/>
      <c r="M616" s="21"/>
      <c r="N616" s="21"/>
      <c r="O616" s="21"/>
      <c r="P616" s="21"/>
      <c r="Q616" s="21"/>
      <c r="R616" s="21"/>
    </row>
    <row r="617" spans="1:18" s="1" customFormat="1">
      <c r="A617" s="282"/>
      <c r="B617" s="21"/>
      <c r="C617" s="21"/>
      <c r="D617" s="141"/>
      <c r="E617" s="108"/>
      <c r="F617" s="22"/>
      <c r="G617" s="219"/>
      <c r="H617" s="165"/>
      <c r="I617" s="21"/>
      <c r="J617" s="21"/>
      <c r="K617" s="182"/>
      <c r="L617" s="21"/>
      <c r="M617" s="21"/>
      <c r="N617" s="21"/>
      <c r="O617" s="21"/>
      <c r="P617" s="21"/>
      <c r="Q617" s="21"/>
      <c r="R617" s="21"/>
    </row>
    <row r="618" spans="1:18" s="1" customFormat="1">
      <c r="A618" s="282"/>
      <c r="B618" s="21"/>
      <c r="C618" s="21"/>
      <c r="D618" s="141"/>
      <c r="E618" s="108"/>
      <c r="F618" s="22"/>
      <c r="G618" s="219"/>
      <c r="H618" s="165"/>
      <c r="I618" s="21"/>
      <c r="J618" s="21"/>
      <c r="K618" s="182"/>
      <c r="L618" s="21"/>
      <c r="M618" s="21"/>
      <c r="N618" s="21"/>
      <c r="O618" s="21"/>
      <c r="P618" s="21"/>
      <c r="Q618" s="21"/>
      <c r="R618" s="21"/>
    </row>
    <row r="619" spans="1:18" s="1" customFormat="1">
      <c r="A619" s="282"/>
      <c r="B619" s="21"/>
      <c r="C619" s="21"/>
      <c r="D619" s="141"/>
      <c r="E619" s="108"/>
      <c r="F619" s="22"/>
      <c r="G619" s="219"/>
      <c r="H619" s="165"/>
      <c r="I619" s="21"/>
      <c r="J619" s="21"/>
      <c r="K619" s="182"/>
      <c r="L619" s="21"/>
      <c r="M619" s="21"/>
      <c r="N619" s="21"/>
      <c r="O619" s="21"/>
      <c r="P619" s="21"/>
      <c r="Q619" s="21"/>
      <c r="R619" s="21"/>
    </row>
    <row r="620" spans="1:18" s="1" customFormat="1">
      <c r="A620" s="282"/>
      <c r="B620" s="21"/>
      <c r="C620" s="21"/>
      <c r="D620" s="141"/>
      <c r="E620" s="108"/>
      <c r="F620" s="22"/>
      <c r="G620" s="219"/>
      <c r="H620" s="165"/>
      <c r="I620" s="21"/>
      <c r="J620" s="21"/>
      <c r="K620" s="182"/>
      <c r="L620" s="21"/>
      <c r="M620" s="21"/>
      <c r="N620" s="21"/>
      <c r="O620" s="21"/>
      <c r="P620" s="21"/>
      <c r="Q620" s="21"/>
      <c r="R620" s="21"/>
    </row>
    <row r="621" spans="1:18" s="1" customFormat="1">
      <c r="A621" s="282"/>
      <c r="B621" s="21"/>
      <c r="C621" s="21"/>
      <c r="D621" s="141"/>
      <c r="E621" s="108"/>
      <c r="F621" s="22"/>
      <c r="G621" s="219"/>
      <c r="H621" s="165"/>
      <c r="I621" s="21"/>
      <c r="J621" s="21"/>
      <c r="K621" s="182"/>
      <c r="L621" s="21"/>
      <c r="M621" s="21"/>
      <c r="N621" s="21"/>
      <c r="O621" s="21"/>
      <c r="P621" s="21"/>
      <c r="Q621" s="21"/>
      <c r="R621" s="21"/>
    </row>
    <row r="622" spans="1:18" s="1" customFormat="1">
      <c r="A622" s="282"/>
      <c r="B622" s="21"/>
      <c r="C622" s="21"/>
      <c r="D622" s="141"/>
      <c r="E622" s="108"/>
      <c r="F622" s="22"/>
      <c r="G622" s="219"/>
      <c r="H622" s="165"/>
      <c r="I622" s="21"/>
      <c r="J622" s="21"/>
      <c r="K622" s="182"/>
      <c r="L622" s="21"/>
      <c r="M622" s="21"/>
      <c r="N622" s="21"/>
      <c r="O622" s="21"/>
      <c r="P622" s="21"/>
      <c r="Q622" s="21"/>
      <c r="R622" s="21"/>
    </row>
    <row r="623" spans="1:18" s="1" customFormat="1">
      <c r="A623" s="282"/>
      <c r="B623" s="21"/>
      <c r="C623" s="21"/>
      <c r="D623" s="141"/>
      <c r="E623" s="108"/>
      <c r="F623" s="22"/>
      <c r="G623" s="219"/>
      <c r="H623" s="165"/>
      <c r="I623" s="21"/>
      <c r="J623" s="21"/>
      <c r="K623" s="182"/>
      <c r="L623" s="21"/>
      <c r="M623" s="21"/>
      <c r="N623" s="21"/>
      <c r="O623" s="21"/>
      <c r="P623" s="21"/>
      <c r="Q623" s="21"/>
      <c r="R623" s="21"/>
    </row>
    <row r="624" spans="1:18" s="1" customFormat="1">
      <c r="A624" s="282"/>
      <c r="B624" s="21"/>
      <c r="C624" s="21"/>
      <c r="D624" s="141"/>
      <c r="E624" s="108"/>
      <c r="F624" s="22"/>
      <c r="G624" s="219"/>
      <c r="H624" s="165"/>
      <c r="I624" s="21"/>
      <c r="J624" s="21"/>
      <c r="K624" s="182"/>
      <c r="L624" s="21"/>
      <c r="M624" s="21"/>
      <c r="N624" s="21"/>
      <c r="O624" s="21"/>
      <c r="P624" s="21"/>
      <c r="Q624" s="21"/>
      <c r="R624" s="21"/>
    </row>
    <row r="625" spans="1:18" s="1" customFormat="1">
      <c r="A625" s="282"/>
      <c r="B625" s="21"/>
      <c r="C625" s="21"/>
      <c r="D625" s="141"/>
      <c r="E625" s="108"/>
      <c r="F625" s="22"/>
      <c r="G625" s="219"/>
      <c r="H625" s="165"/>
      <c r="I625" s="21"/>
      <c r="J625" s="21"/>
      <c r="K625" s="182"/>
      <c r="L625" s="21"/>
      <c r="M625" s="21"/>
      <c r="N625" s="21"/>
      <c r="O625" s="21"/>
      <c r="P625" s="21"/>
      <c r="Q625" s="21"/>
      <c r="R625" s="21"/>
    </row>
    <row r="626" spans="1:18" s="1" customFormat="1">
      <c r="A626" s="282"/>
      <c r="B626" s="21"/>
      <c r="C626" s="21"/>
      <c r="D626" s="141"/>
      <c r="E626" s="108"/>
      <c r="F626" s="22"/>
      <c r="G626" s="219"/>
      <c r="H626" s="165"/>
      <c r="I626" s="21"/>
      <c r="J626" s="21"/>
      <c r="K626" s="182"/>
      <c r="L626" s="21"/>
      <c r="M626" s="21"/>
      <c r="N626" s="21"/>
      <c r="O626" s="21"/>
      <c r="P626" s="21"/>
      <c r="Q626" s="21"/>
      <c r="R626" s="21"/>
    </row>
    <row r="627" spans="1:18" s="1" customFormat="1">
      <c r="A627" s="282"/>
      <c r="B627" s="21"/>
      <c r="C627" s="21"/>
      <c r="D627" s="141"/>
      <c r="E627" s="108"/>
      <c r="F627" s="22"/>
      <c r="G627" s="219"/>
      <c r="H627" s="165"/>
      <c r="I627" s="21"/>
      <c r="J627" s="21"/>
      <c r="K627" s="182"/>
      <c r="L627" s="21"/>
      <c r="M627" s="21"/>
      <c r="N627" s="21"/>
      <c r="O627" s="21"/>
      <c r="P627" s="21"/>
      <c r="Q627" s="21"/>
      <c r="R627" s="21"/>
    </row>
    <row r="628" spans="1:18" s="1" customFormat="1">
      <c r="A628" s="282"/>
      <c r="B628" s="21"/>
      <c r="C628" s="21"/>
      <c r="D628" s="141"/>
      <c r="E628" s="108"/>
      <c r="F628" s="22"/>
      <c r="G628" s="219"/>
      <c r="H628" s="165"/>
      <c r="I628" s="21"/>
      <c r="J628" s="21"/>
      <c r="K628" s="182"/>
      <c r="L628" s="21"/>
      <c r="M628" s="21"/>
      <c r="N628" s="21"/>
      <c r="O628" s="21"/>
      <c r="P628" s="21"/>
      <c r="Q628" s="21"/>
      <c r="R628" s="21"/>
    </row>
    <row r="629" spans="1:18" s="1" customFormat="1">
      <c r="A629" s="282"/>
      <c r="B629" s="21"/>
      <c r="C629" s="21"/>
      <c r="D629" s="141"/>
      <c r="E629" s="108"/>
      <c r="F629" s="22"/>
      <c r="G629" s="219"/>
      <c r="H629" s="165"/>
      <c r="I629" s="21"/>
      <c r="J629" s="21"/>
      <c r="K629" s="182"/>
      <c r="L629" s="21"/>
      <c r="M629" s="21"/>
      <c r="N629" s="21"/>
      <c r="O629" s="21"/>
      <c r="P629" s="21"/>
      <c r="Q629" s="21"/>
      <c r="R629" s="21"/>
    </row>
    <row r="630" spans="1:18" s="1" customFormat="1">
      <c r="A630" s="282"/>
      <c r="B630" s="21"/>
      <c r="C630" s="21"/>
      <c r="D630" s="141"/>
      <c r="E630" s="108"/>
      <c r="F630" s="22"/>
      <c r="G630" s="219"/>
      <c r="H630" s="165"/>
      <c r="I630" s="21"/>
      <c r="J630" s="21"/>
      <c r="K630" s="182"/>
      <c r="L630" s="21"/>
      <c r="M630" s="21"/>
      <c r="N630" s="21"/>
      <c r="O630" s="21"/>
      <c r="P630" s="21"/>
      <c r="Q630" s="21"/>
      <c r="R630" s="21"/>
    </row>
    <row r="631" spans="1:18" s="1" customFormat="1">
      <c r="A631" s="282"/>
      <c r="B631" s="21"/>
      <c r="C631" s="21"/>
      <c r="D631" s="141"/>
      <c r="E631" s="108"/>
      <c r="F631" s="22"/>
      <c r="G631" s="219"/>
      <c r="H631" s="165"/>
      <c r="I631" s="21"/>
      <c r="J631" s="21"/>
      <c r="K631" s="182"/>
      <c r="L631" s="21"/>
      <c r="M631" s="21"/>
      <c r="N631" s="21"/>
      <c r="O631" s="21"/>
      <c r="P631" s="21"/>
      <c r="Q631" s="21"/>
      <c r="R631" s="21"/>
    </row>
    <row r="632" spans="1:18" s="1" customFormat="1">
      <c r="A632" s="282"/>
      <c r="B632" s="21"/>
      <c r="C632" s="21"/>
      <c r="D632" s="141"/>
      <c r="E632" s="108"/>
      <c r="F632" s="22"/>
      <c r="G632" s="219"/>
      <c r="H632" s="165"/>
      <c r="I632" s="21"/>
      <c r="J632" s="21"/>
      <c r="K632" s="182"/>
      <c r="L632" s="21"/>
      <c r="M632" s="21"/>
      <c r="N632" s="21"/>
      <c r="O632" s="21"/>
      <c r="P632" s="21"/>
      <c r="Q632" s="21"/>
      <c r="R632" s="21"/>
    </row>
    <row r="633" spans="1:18" s="1" customFormat="1">
      <c r="A633" s="282"/>
      <c r="B633" s="21"/>
      <c r="C633" s="21"/>
      <c r="D633" s="141"/>
      <c r="E633" s="108"/>
      <c r="F633" s="22"/>
      <c r="G633" s="219"/>
      <c r="H633" s="165"/>
      <c r="I633" s="21"/>
      <c r="J633" s="21"/>
      <c r="K633" s="182"/>
      <c r="L633" s="21"/>
      <c r="M633" s="21"/>
      <c r="N633" s="21"/>
      <c r="O633" s="21"/>
      <c r="P633" s="21"/>
      <c r="Q633" s="21"/>
      <c r="R633" s="21"/>
    </row>
    <row r="634" spans="1:18" s="1" customFormat="1">
      <c r="A634" s="282"/>
      <c r="B634" s="21"/>
      <c r="C634" s="21"/>
      <c r="D634" s="141"/>
      <c r="E634" s="108"/>
      <c r="F634" s="22"/>
      <c r="G634" s="219"/>
      <c r="H634" s="165"/>
      <c r="I634" s="21"/>
      <c r="J634" s="21"/>
      <c r="K634" s="182"/>
      <c r="L634" s="21"/>
      <c r="M634" s="21"/>
      <c r="N634" s="21"/>
      <c r="O634" s="21"/>
      <c r="P634" s="21"/>
      <c r="Q634" s="21"/>
      <c r="R634" s="21"/>
    </row>
    <row r="635" spans="1:18" s="1" customFormat="1">
      <c r="A635" s="282"/>
      <c r="B635" s="21"/>
      <c r="C635" s="21"/>
      <c r="D635" s="141"/>
      <c r="E635" s="108"/>
      <c r="F635" s="22"/>
      <c r="G635" s="219"/>
      <c r="H635" s="165"/>
      <c r="I635" s="21"/>
      <c r="J635" s="21"/>
      <c r="K635" s="182"/>
      <c r="L635" s="21"/>
      <c r="M635" s="21"/>
      <c r="N635" s="21"/>
      <c r="O635" s="21"/>
      <c r="P635" s="21"/>
      <c r="Q635" s="21"/>
      <c r="R635" s="21"/>
    </row>
    <row r="636" spans="1:18" s="1" customFormat="1">
      <c r="A636" s="282"/>
      <c r="B636" s="21"/>
      <c r="C636" s="21"/>
      <c r="D636" s="141"/>
      <c r="E636" s="108"/>
      <c r="F636" s="22"/>
      <c r="G636" s="219"/>
      <c r="H636" s="165"/>
      <c r="I636" s="21"/>
      <c r="J636" s="21"/>
      <c r="K636" s="182"/>
      <c r="L636" s="21"/>
      <c r="M636" s="21"/>
      <c r="N636" s="21"/>
      <c r="O636" s="21"/>
      <c r="P636" s="21"/>
      <c r="Q636" s="21"/>
      <c r="R636" s="21"/>
    </row>
    <row r="637" spans="1:18" s="1" customFormat="1">
      <c r="A637" s="282"/>
      <c r="B637" s="21"/>
      <c r="C637" s="21"/>
      <c r="D637" s="141"/>
      <c r="E637" s="108"/>
      <c r="F637" s="22"/>
      <c r="G637" s="219"/>
      <c r="H637" s="165"/>
      <c r="I637" s="21"/>
      <c r="J637" s="21"/>
      <c r="K637" s="182"/>
      <c r="L637" s="21"/>
      <c r="M637" s="21"/>
      <c r="N637" s="21"/>
      <c r="O637" s="21"/>
      <c r="P637" s="21"/>
      <c r="Q637" s="21"/>
      <c r="R637" s="21"/>
    </row>
    <row r="638" spans="1:18" s="1" customFormat="1">
      <c r="A638" s="282"/>
      <c r="B638" s="21"/>
      <c r="C638" s="21"/>
      <c r="D638" s="141"/>
      <c r="E638" s="108"/>
      <c r="F638" s="22"/>
      <c r="G638" s="219"/>
      <c r="H638" s="165"/>
      <c r="I638" s="21"/>
      <c r="J638" s="21"/>
      <c r="K638" s="182"/>
      <c r="L638" s="21"/>
      <c r="M638" s="21"/>
      <c r="N638" s="21"/>
      <c r="O638" s="21"/>
      <c r="P638" s="21"/>
      <c r="Q638" s="21"/>
      <c r="R638" s="21"/>
    </row>
    <row r="639" spans="1:18" s="1" customFormat="1">
      <c r="A639" s="282"/>
      <c r="B639" s="21"/>
      <c r="C639" s="21"/>
      <c r="D639" s="141"/>
      <c r="E639" s="108"/>
      <c r="F639" s="22"/>
      <c r="G639" s="219"/>
      <c r="H639" s="165"/>
      <c r="I639" s="21"/>
      <c r="J639" s="21"/>
      <c r="K639" s="182"/>
      <c r="L639" s="21"/>
      <c r="M639" s="21"/>
      <c r="N639" s="21"/>
      <c r="O639" s="21"/>
      <c r="P639" s="21"/>
      <c r="Q639" s="21"/>
      <c r="R639" s="21"/>
    </row>
    <row r="640" spans="1:18" s="1" customFormat="1">
      <c r="A640" s="282"/>
      <c r="B640" s="21"/>
      <c r="C640" s="21"/>
      <c r="D640" s="141"/>
      <c r="E640" s="108"/>
      <c r="F640" s="22"/>
      <c r="G640" s="219"/>
      <c r="H640" s="165"/>
      <c r="I640" s="21"/>
      <c r="J640" s="21"/>
      <c r="K640" s="182"/>
      <c r="L640" s="21"/>
      <c r="M640" s="21"/>
      <c r="N640" s="21"/>
      <c r="O640" s="21"/>
      <c r="P640" s="21"/>
      <c r="Q640" s="21"/>
      <c r="R640" s="21"/>
    </row>
    <row r="641" spans="1:18" s="1" customFormat="1">
      <c r="A641" s="282"/>
      <c r="B641" s="21"/>
      <c r="C641" s="21"/>
      <c r="D641" s="141"/>
      <c r="E641" s="108"/>
      <c r="F641" s="22"/>
      <c r="G641" s="219"/>
      <c r="H641" s="165"/>
      <c r="I641" s="21"/>
      <c r="J641" s="21"/>
      <c r="K641" s="182"/>
      <c r="L641" s="21"/>
      <c r="M641" s="21"/>
      <c r="N641" s="21"/>
      <c r="O641" s="21"/>
      <c r="P641" s="21"/>
      <c r="Q641" s="21"/>
      <c r="R641" s="21"/>
    </row>
    <row r="642" spans="1:18" s="1" customFormat="1">
      <c r="A642" s="282"/>
      <c r="B642" s="21"/>
      <c r="C642" s="21"/>
      <c r="D642" s="141"/>
      <c r="E642" s="108"/>
      <c r="F642" s="22"/>
      <c r="G642" s="219"/>
      <c r="H642" s="165"/>
      <c r="I642" s="21"/>
      <c r="J642" s="21"/>
      <c r="K642" s="182"/>
      <c r="L642" s="21"/>
      <c r="M642" s="21"/>
      <c r="N642" s="21"/>
      <c r="O642" s="21"/>
      <c r="P642" s="21"/>
      <c r="Q642" s="21"/>
      <c r="R642" s="21"/>
    </row>
    <row r="643" spans="1:18" s="1" customFormat="1">
      <c r="A643" s="282"/>
      <c r="B643" s="21"/>
      <c r="C643" s="21"/>
      <c r="D643" s="141"/>
      <c r="E643" s="108"/>
      <c r="F643" s="22"/>
      <c r="G643" s="219"/>
      <c r="H643" s="165"/>
      <c r="I643" s="21"/>
      <c r="J643" s="21"/>
      <c r="K643" s="182"/>
      <c r="L643" s="21"/>
      <c r="M643" s="21"/>
      <c r="N643" s="21"/>
      <c r="O643" s="21"/>
      <c r="P643" s="21"/>
      <c r="Q643" s="21"/>
      <c r="R643" s="21"/>
    </row>
    <row r="644" spans="1:18" s="1" customFormat="1">
      <c r="A644" s="282"/>
      <c r="B644" s="21"/>
      <c r="C644" s="21"/>
      <c r="D644" s="141"/>
      <c r="E644" s="108"/>
      <c r="F644" s="22"/>
      <c r="G644" s="219"/>
      <c r="H644" s="165"/>
      <c r="I644" s="21"/>
      <c r="J644" s="21"/>
      <c r="K644" s="182"/>
      <c r="L644" s="21"/>
      <c r="M644" s="21"/>
      <c r="N644" s="21"/>
      <c r="O644" s="21"/>
      <c r="P644" s="21"/>
      <c r="Q644" s="21"/>
      <c r="R644" s="21"/>
    </row>
    <row r="645" spans="1:18" s="1" customFormat="1">
      <c r="A645" s="282"/>
      <c r="B645" s="21"/>
      <c r="C645" s="21"/>
      <c r="D645" s="141"/>
      <c r="E645" s="108"/>
      <c r="F645" s="22"/>
      <c r="G645" s="219"/>
      <c r="H645" s="165"/>
      <c r="I645" s="21"/>
      <c r="J645" s="21"/>
      <c r="K645" s="182"/>
      <c r="L645" s="21"/>
      <c r="M645" s="21"/>
      <c r="N645" s="21"/>
      <c r="O645" s="21"/>
      <c r="P645" s="21"/>
      <c r="Q645" s="21"/>
      <c r="R645" s="21"/>
    </row>
    <row r="646" spans="1:18" s="1" customFormat="1">
      <c r="A646" s="282"/>
      <c r="B646" s="21"/>
      <c r="C646" s="21"/>
      <c r="D646" s="141"/>
      <c r="E646" s="108"/>
      <c r="F646" s="22"/>
      <c r="G646" s="219"/>
      <c r="H646" s="165"/>
      <c r="I646" s="21"/>
      <c r="J646" s="21"/>
      <c r="K646" s="182"/>
      <c r="L646" s="21"/>
      <c r="M646" s="21"/>
      <c r="N646" s="21"/>
      <c r="O646" s="21"/>
      <c r="P646" s="21"/>
      <c r="Q646" s="21"/>
      <c r="R646" s="21"/>
    </row>
    <row r="647" spans="1:18" s="1" customFormat="1">
      <c r="A647" s="282"/>
      <c r="B647" s="21"/>
      <c r="C647" s="21"/>
      <c r="D647" s="141"/>
      <c r="E647" s="108"/>
      <c r="F647" s="22"/>
      <c r="G647" s="219"/>
      <c r="H647" s="165"/>
      <c r="I647" s="21"/>
      <c r="J647" s="21"/>
      <c r="K647" s="182"/>
      <c r="L647" s="21"/>
      <c r="M647" s="21"/>
      <c r="N647" s="21"/>
      <c r="O647" s="21"/>
      <c r="P647" s="21"/>
      <c r="Q647" s="21"/>
      <c r="R647" s="21"/>
    </row>
    <row r="648" spans="1:18" s="1" customFormat="1">
      <c r="A648" s="282"/>
      <c r="B648" s="21"/>
      <c r="C648" s="21"/>
      <c r="D648" s="141"/>
      <c r="E648" s="108"/>
      <c r="F648" s="22"/>
      <c r="G648" s="219"/>
      <c r="H648" s="165"/>
      <c r="I648" s="21"/>
      <c r="J648" s="21"/>
      <c r="K648" s="182"/>
      <c r="L648" s="21"/>
      <c r="M648" s="21"/>
      <c r="N648" s="21"/>
      <c r="O648" s="21"/>
      <c r="P648" s="21"/>
      <c r="Q648" s="21"/>
      <c r="R648" s="21"/>
    </row>
    <row r="649" spans="1:18" s="1" customFormat="1">
      <c r="A649" s="282"/>
      <c r="B649" s="21"/>
      <c r="C649" s="21"/>
      <c r="D649" s="141"/>
      <c r="E649" s="108"/>
      <c r="F649" s="22"/>
      <c r="G649" s="219"/>
      <c r="H649" s="165"/>
      <c r="I649" s="21"/>
      <c r="J649" s="21"/>
      <c r="K649" s="182"/>
      <c r="L649" s="21"/>
      <c r="M649" s="21"/>
      <c r="N649" s="21"/>
      <c r="O649" s="21"/>
      <c r="P649" s="21"/>
      <c r="Q649" s="21"/>
      <c r="R649" s="21"/>
    </row>
    <row r="650" spans="1:18" s="1" customFormat="1">
      <c r="A650" s="282"/>
      <c r="B650" s="21"/>
      <c r="C650" s="21"/>
      <c r="D650" s="141"/>
      <c r="E650" s="108"/>
      <c r="F650" s="22"/>
      <c r="G650" s="219"/>
      <c r="H650" s="165"/>
      <c r="I650" s="21"/>
      <c r="J650" s="21"/>
      <c r="K650" s="182"/>
      <c r="L650" s="21"/>
      <c r="M650" s="21"/>
      <c r="N650" s="21"/>
      <c r="O650" s="21"/>
      <c r="P650" s="21"/>
      <c r="Q650" s="21"/>
      <c r="R650" s="21"/>
    </row>
    <row r="651" spans="1:18" s="1" customFormat="1">
      <c r="A651" s="282"/>
      <c r="B651" s="21"/>
      <c r="C651" s="21"/>
      <c r="D651" s="141"/>
      <c r="E651" s="108"/>
      <c r="F651" s="22"/>
      <c r="G651" s="219"/>
      <c r="H651" s="165"/>
      <c r="I651" s="21"/>
      <c r="J651" s="21"/>
      <c r="K651" s="182"/>
      <c r="L651" s="21"/>
      <c r="M651" s="21"/>
      <c r="N651" s="21"/>
      <c r="O651" s="21"/>
      <c r="P651" s="21"/>
      <c r="Q651" s="21"/>
      <c r="R651" s="21"/>
    </row>
    <row r="652" spans="1:18" s="1" customFormat="1">
      <c r="A652" s="282"/>
      <c r="B652" s="21"/>
      <c r="C652" s="21"/>
      <c r="D652" s="141"/>
      <c r="E652" s="108"/>
      <c r="F652" s="22"/>
      <c r="G652" s="219"/>
      <c r="H652" s="165"/>
      <c r="I652" s="21"/>
      <c r="J652" s="21"/>
      <c r="K652" s="182"/>
      <c r="L652" s="21"/>
      <c r="M652" s="21"/>
      <c r="N652" s="21"/>
      <c r="O652" s="21"/>
      <c r="P652" s="21"/>
      <c r="Q652" s="21"/>
      <c r="R652" s="21"/>
    </row>
    <row r="653" spans="1:18" s="1" customFormat="1">
      <c r="A653" s="282"/>
      <c r="B653" s="21"/>
      <c r="C653" s="21"/>
      <c r="D653" s="141"/>
      <c r="E653" s="108"/>
      <c r="F653" s="22"/>
      <c r="G653" s="219"/>
      <c r="H653" s="165"/>
      <c r="I653" s="21"/>
      <c r="J653" s="21"/>
      <c r="K653" s="182"/>
      <c r="L653" s="21"/>
      <c r="M653" s="21"/>
      <c r="N653" s="21"/>
      <c r="O653" s="21"/>
      <c r="P653" s="21"/>
      <c r="Q653" s="21"/>
      <c r="R653" s="21"/>
    </row>
    <row r="654" spans="1:18" s="1" customFormat="1">
      <c r="A654" s="282"/>
      <c r="B654" s="21"/>
      <c r="C654" s="21"/>
      <c r="D654" s="141"/>
      <c r="E654" s="108"/>
      <c r="F654" s="22"/>
      <c r="G654" s="219"/>
      <c r="H654" s="165"/>
      <c r="I654" s="21"/>
      <c r="J654" s="21"/>
      <c r="K654" s="182"/>
      <c r="L654" s="21"/>
      <c r="M654" s="21"/>
      <c r="N654" s="21"/>
      <c r="O654" s="21"/>
      <c r="P654" s="21"/>
      <c r="Q654" s="21"/>
      <c r="R654" s="21"/>
    </row>
    <row r="655" spans="1:18" s="1" customFormat="1">
      <c r="A655" s="282"/>
      <c r="B655" s="21"/>
      <c r="C655" s="21"/>
      <c r="D655" s="141"/>
      <c r="E655" s="108"/>
      <c r="F655" s="22"/>
      <c r="G655" s="219"/>
      <c r="H655" s="165"/>
      <c r="I655" s="21"/>
      <c r="J655" s="21"/>
      <c r="K655" s="182"/>
      <c r="L655" s="21"/>
      <c r="M655" s="21"/>
      <c r="N655" s="21"/>
      <c r="O655" s="21"/>
      <c r="P655" s="21"/>
      <c r="Q655" s="21"/>
      <c r="R655" s="21"/>
    </row>
    <row r="656" spans="1:18" s="1" customFormat="1">
      <c r="A656" s="282"/>
      <c r="B656" s="21"/>
      <c r="C656" s="21"/>
      <c r="D656" s="141"/>
      <c r="E656" s="108"/>
      <c r="F656" s="22"/>
      <c r="G656" s="219"/>
      <c r="H656" s="165"/>
      <c r="I656" s="21"/>
      <c r="J656" s="21"/>
      <c r="K656" s="182"/>
      <c r="L656" s="21"/>
      <c r="M656" s="21"/>
      <c r="N656" s="21"/>
      <c r="O656" s="21"/>
      <c r="P656" s="21"/>
      <c r="Q656" s="21"/>
      <c r="R656" s="21"/>
    </row>
    <row r="657" spans="1:18" s="1" customFormat="1">
      <c r="A657" s="282"/>
      <c r="B657" s="21"/>
      <c r="C657" s="21"/>
      <c r="D657" s="141"/>
      <c r="E657" s="108"/>
      <c r="F657" s="22"/>
      <c r="G657" s="219"/>
      <c r="H657" s="165"/>
      <c r="I657" s="21"/>
      <c r="J657" s="21"/>
      <c r="K657" s="182"/>
      <c r="L657" s="21"/>
      <c r="M657" s="21"/>
      <c r="N657" s="21"/>
      <c r="O657" s="21"/>
      <c r="P657" s="21"/>
      <c r="Q657" s="21"/>
      <c r="R657" s="21"/>
    </row>
    <row r="658" spans="1:18" s="1" customFormat="1">
      <c r="A658" s="282"/>
      <c r="B658" s="21"/>
      <c r="C658" s="21"/>
      <c r="D658" s="141"/>
      <c r="E658" s="108"/>
      <c r="F658" s="22"/>
      <c r="G658" s="219"/>
      <c r="H658" s="165"/>
      <c r="I658" s="21"/>
      <c r="J658" s="21"/>
      <c r="K658" s="182"/>
      <c r="L658" s="21"/>
      <c r="M658" s="21"/>
      <c r="N658" s="21"/>
      <c r="O658" s="21"/>
      <c r="P658" s="21"/>
      <c r="Q658" s="21"/>
      <c r="R658" s="21"/>
    </row>
    <row r="659" spans="1:18" s="1" customFormat="1">
      <c r="A659" s="282"/>
      <c r="B659" s="21"/>
      <c r="C659" s="21"/>
      <c r="D659" s="141"/>
      <c r="E659" s="108"/>
      <c r="F659" s="22"/>
      <c r="G659" s="219"/>
      <c r="H659" s="165"/>
      <c r="I659" s="21"/>
      <c r="J659" s="21"/>
      <c r="K659" s="182"/>
      <c r="L659" s="21"/>
      <c r="M659" s="21"/>
      <c r="N659" s="21"/>
      <c r="O659" s="21"/>
      <c r="P659" s="21"/>
      <c r="Q659" s="21"/>
      <c r="R659" s="21"/>
    </row>
    <row r="660" spans="1:18" s="1" customFormat="1">
      <c r="A660" s="282"/>
      <c r="B660" s="21"/>
      <c r="C660" s="21"/>
      <c r="D660" s="141"/>
      <c r="E660" s="108"/>
      <c r="F660" s="22"/>
      <c r="G660" s="219"/>
      <c r="H660" s="165"/>
      <c r="I660" s="21"/>
      <c r="J660" s="21"/>
      <c r="K660" s="182"/>
      <c r="L660" s="21"/>
      <c r="M660" s="21"/>
      <c r="N660" s="21"/>
      <c r="O660" s="21"/>
      <c r="P660" s="21"/>
      <c r="Q660" s="21"/>
      <c r="R660" s="21"/>
    </row>
    <row r="661" spans="1:18" s="1" customFormat="1">
      <c r="A661" s="282"/>
      <c r="B661" s="21"/>
      <c r="C661" s="21"/>
      <c r="D661" s="141"/>
      <c r="E661" s="108"/>
      <c r="F661" s="22"/>
      <c r="G661" s="219"/>
      <c r="H661" s="165"/>
      <c r="I661" s="21"/>
      <c r="J661" s="21"/>
      <c r="K661" s="182"/>
      <c r="L661" s="21"/>
      <c r="M661" s="21"/>
      <c r="N661" s="21"/>
      <c r="O661" s="21"/>
      <c r="P661" s="21"/>
      <c r="Q661" s="21"/>
      <c r="R661" s="21"/>
    </row>
    <row r="662" spans="1:18" s="1" customFormat="1">
      <c r="A662" s="282"/>
      <c r="B662" s="21"/>
      <c r="C662" s="21"/>
      <c r="D662" s="141"/>
      <c r="E662" s="108"/>
      <c r="F662" s="22"/>
      <c r="G662" s="219"/>
      <c r="H662" s="165"/>
      <c r="I662" s="21"/>
      <c r="J662" s="21"/>
      <c r="K662" s="182"/>
      <c r="L662" s="21"/>
      <c r="M662" s="21"/>
      <c r="N662" s="21"/>
      <c r="O662" s="21"/>
      <c r="P662" s="21"/>
      <c r="Q662" s="21"/>
      <c r="R662" s="21"/>
    </row>
    <row r="663" spans="1:18" s="1" customFormat="1">
      <c r="A663" s="282"/>
      <c r="B663" s="21"/>
      <c r="C663" s="21"/>
      <c r="D663" s="141"/>
      <c r="E663" s="108"/>
      <c r="F663" s="22"/>
      <c r="G663" s="219"/>
      <c r="H663" s="165"/>
      <c r="I663" s="21"/>
      <c r="J663" s="21"/>
      <c r="K663" s="182"/>
      <c r="L663" s="21"/>
      <c r="M663" s="21"/>
      <c r="N663" s="21"/>
      <c r="O663" s="21"/>
      <c r="P663" s="21"/>
      <c r="Q663" s="21"/>
      <c r="R663" s="21"/>
    </row>
    <row r="664" spans="1:18" s="1" customFormat="1">
      <c r="A664" s="282"/>
      <c r="B664" s="21"/>
      <c r="C664" s="21"/>
      <c r="D664" s="141"/>
      <c r="E664" s="108"/>
      <c r="F664" s="22"/>
      <c r="G664" s="219"/>
      <c r="H664" s="165"/>
      <c r="I664" s="21"/>
      <c r="J664" s="21"/>
      <c r="K664" s="182"/>
      <c r="L664" s="21"/>
      <c r="M664" s="21"/>
      <c r="N664" s="21"/>
      <c r="O664" s="21"/>
      <c r="P664" s="21"/>
      <c r="Q664" s="21"/>
      <c r="R664" s="21"/>
    </row>
    <row r="665" spans="1:18" s="1" customFormat="1">
      <c r="A665" s="282"/>
      <c r="B665" s="21"/>
      <c r="C665" s="21"/>
      <c r="D665" s="141"/>
      <c r="E665" s="108"/>
      <c r="F665" s="22"/>
      <c r="G665" s="219"/>
      <c r="H665" s="165"/>
      <c r="I665" s="21"/>
      <c r="J665" s="21"/>
      <c r="K665" s="182"/>
      <c r="L665" s="21"/>
      <c r="M665" s="21"/>
      <c r="N665" s="21"/>
      <c r="O665" s="21"/>
      <c r="P665" s="21"/>
      <c r="Q665" s="21"/>
      <c r="R665" s="21"/>
    </row>
    <row r="666" spans="1:18" s="1" customFormat="1">
      <c r="A666" s="282"/>
      <c r="B666" s="21"/>
      <c r="C666" s="21"/>
      <c r="D666" s="141"/>
      <c r="E666" s="108"/>
      <c r="F666" s="22"/>
      <c r="G666" s="219"/>
      <c r="H666" s="165"/>
      <c r="I666" s="21"/>
      <c r="J666" s="21"/>
      <c r="K666" s="182"/>
      <c r="L666" s="21"/>
      <c r="M666" s="21"/>
      <c r="N666" s="21"/>
      <c r="O666" s="21"/>
      <c r="P666" s="21"/>
      <c r="Q666" s="21"/>
      <c r="R666" s="21"/>
    </row>
    <row r="667" spans="1:18" s="1" customFormat="1">
      <c r="A667" s="282"/>
      <c r="B667" s="21"/>
      <c r="C667" s="21"/>
      <c r="D667" s="141"/>
      <c r="E667" s="108"/>
      <c r="F667" s="22"/>
      <c r="G667" s="219"/>
      <c r="H667" s="165"/>
      <c r="I667" s="21"/>
      <c r="J667" s="21"/>
      <c r="K667" s="182"/>
      <c r="L667" s="21"/>
      <c r="M667" s="21"/>
      <c r="N667" s="21"/>
      <c r="O667" s="21"/>
      <c r="P667" s="21"/>
      <c r="Q667" s="21"/>
      <c r="R667" s="21"/>
    </row>
    <row r="668" spans="1:18" s="1" customFormat="1">
      <c r="A668" s="282"/>
      <c r="B668" s="21"/>
      <c r="C668" s="21"/>
      <c r="D668" s="141"/>
      <c r="E668" s="108"/>
      <c r="F668" s="22"/>
      <c r="G668" s="219"/>
      <c r="H668" s="165"/>
      <c r="I668" s="21"/>
      <c r="J668" s="21"/>
      <c r="K668" s="182"/>
      <c r="L668" s="21"/>
      <c r="M668" s="21"/>
      <c r="N668" s="21"/>
      <c r="O668" s="21"/>
      <c r="P668" s="21"/>
      <c r="Q668" s="21"/>
      <c r="R668" s="21"/>
    </row>
    <row r="669" spans="1:18" s="1" customFormat="1">
      <c r="A669" s="282"/>
      <c r="B669" s="21"/>
      <c r="C669" s="21"/>
      <c r="D669" s="141"/>
      <c r="E669" s="108"/>
      <c r="F669" s="22"/>
      <c r="G669" s="219"/>
      <c r="H669" s="165"/>
      <c r="I669" s="21"/>
      <c r="J669" s="21"/>
      <c r="K669" s="182"/>
      <c r="L669" s="21"/>
      <c r="M669" s="21"/>
      <c r="N669" s="21"/>
      <c r="O669" s="21"/>
      <c r="P669" s="21"/>
      <c r="Q669" s="21"/>
      <c r="R669" s="21"/>
    </row>
    <row r="670" spans="1:18" s="1" customFormat="1">
      <c r="A670" s="282"/>
      <c r="B670" s="21"/>
      <c r="C670" s="21"/>
      <c r="D670" s="141"/>
      <c r="E670" s="108"/>
      <c r="F670" s="22"/>
      <c r="G670" s="219"/>
      <c r="H670" s="165"/>
      <c r="I670" s="21"/>
      <c r="J670" s="21"/>
      <c r="K670" s="182"/>
      <c r="L670" s="21"/>
      <c r="M670" s="21"/>
      <c r="N670" s="21"/>
      <c r="O670" s="21"/>
      <c r="P670" s="21"/>
      <c r="Q670" s="21"/>
      <c r="R670" s="21"/>
    </row>
    <row r="671" spans="1:18" s="1" customFormat="1">
      <c r="A671" s="282"/>
      <c r="B671" s="21"/>
      <c r="C671" s="21"/>
      <c r="D671" s="141"/>
      <c r="E671" s="108"/>
      <c r="F671" s="22"/>
      <c r="G671" s="219"/>
      <c r="H671" s="165"/>
      <c r="I671" s="21"/>
      <c r="J671" s="21"/>
      <c r="K671" s="182"/>
      <c r="L671" s="21"/>
      <c r="M671" s="21"/>
      <c r="N671" s="21"/>
      <c r="O671" s="21"/>
      <c r="P671" s="21"/>
      <c r="Q671" s="21"/>
      <c r="R671" s="21"/>
    </row>
    <row r="672" spans="1:18" s="1" customFormat="1">
      <c r="A672" s="282"/>
      <c r="B672" s="21"/>
      <c r="C672" s="21"/>
      <c r="D672" s="141"/>
      <c r="E672" s="108"/>
      <c r="F672" s="22"/>
      <c r="G672" s="219"/>
      <c r="H672" s="165"/>
      <c r="I672" s="21"/>
      <c r="J672" s="21"/>
      <c r="K672" s="182"/>
      <c r="L672" s="21"/>
      <c r="M672" s="21"/>
      <c r="N672" s="21"/>
      <c r="O672" s="21"/>
      <c r="P672" s="21"/>
      <c r="Q672" s="21"/>
      <c r="R672" s="21"/>
    </row>
    <row r="673" spans="1:18" s="1" customFormat="1">
      <c r="A673" s="282"/>
      <c r="B673" s="21"/>
      <c r="C673" s="21"/>
      <c r="D673" s="141"/>
      <c r="E673" s="108"/>
      <c r="F673" s="22"/>
      <c r="G673" s="219"/>
      <c r="H673" s="165"/>
      <c r="I673" s="21"/>
      <c r="J673" s="21"/>
      <c r="K673" s="182"/>
      <c r="L673" s="21"/>
      <c r="M673" s="21"/>
      <c r="N673" s="21"/>
      <c r="O673" s="21"/>
      <c r="P673" s="21"/>
      <c r="Q673" s="21"/>
      <c r="R673" s="21"/>
    </row>
    <row r="674" spans="1:18" s="1" customFormat="1">
      <c r="A674" s="282"/>
      <c r="B674" s="21"/>
      <c r="C674" s="21"/>
      <c r="D674" s="141"/>
      <c r="E674" s="108"/>
      <c r="F674" s="22"/>
      <c r="G674" s="219"/>
      <c r="H674" s="165"/>
      <c r="I674" s="21"/>
      <c r="J674" s="21"/>
      <c r="K674" s="182"/>
      <c r="L674" s="21"/>
      <c r="M674" s="21"/>
      <c r="N674" s="21"/>
      <c r="O674" s="21"/>
      <c r="P674" s="21"/>
      <c r="Q674" s="21"/>
      <c r="R674" s="21"/>
    </row>
    <row r="675" spans="1:18" s="1" customFormat="1">
      <c r="A675" s="282"/>
      <c r="B675" s="21"/>
      <c r="C675" s="21"/>
      <c r="D675" s="141"/>
      <c r="E675" s="108"/>
      <c r="F675" s="22"/>
      <c r="G675" s="219"/>
      <c r="H675" s="165"/>
      <c r="I675" s="21"/>
      <c r="J675" s="21"/>
      <c r="K675" s="182"/>
      <c r="L675" s="21"/>
      <c r="M675" s="21"/>
      <c r="N675" s="21"/>
      <c r="O675" s="21"/>
      <c r="P675" s="21"/>
      <c r="Q675" s="21"/>
      <c r="R675" s="21"/>
    </row>
    <row r="676" spans="1:18" s="1" customFormat="1">
      <c r="A676" s="282"/>
      <c r="B676" s="21"/>
      <c r="C676" s="21"/>
      <c r="D676" s="141"/>
      <c r="E676" s="108"/>
      <c r="F676" s="22"/>
      <c r="G676" s="219"/>
      <c r="H676" s="165"/>
      <c r="I676" s="21"/>
      <c r="J676" s="21"/>
      <c r="K676" s="182"/>
      <c r="L676" s="21"/>
      <c r="M676" s="21"/>
      <c r="N676" s="21"/>
      <c r="O676" s="21"/>
      <c r="P676" s="21"/>
      <c r="Q676" s="21"/>
      <c r="R676" s="21"/>
    </row>
    <row r="677" spans="1:18" s="1" customFormat="1">
      <c r="A677" s="282"/>
      <c r="B677" s="21"/>
      <c r="C677" s="21"/>
      <c r="D677" s="141"/>
      <c r="E677" s="108"/>
      <c r="F677" s="22"/>
      <c r="G677" s="219"/>
      <c r="H677" s="165"/>
      <c r="I677" s="21"/>
      <c r="J677" s="21"/>
      <c r="K677" s="182"/>
      <c r="L677" s="21"/>
      <c r="M677" s="21"/>
      <c r="N677" s="21"/>
      <c r="O677" s="21"/>
      <c r="P677" s="21"/>
      <c r="Q677" s="21"/>
      <c r="R677" s="21"/>
    </row>
    <row r="678" spans="1:18" s="1" customFormat="1">
      <c r="A678" s="282"/>
      <c r="B678" s="21"/>
      <c r="C678" s="21"/>
      <c r="D678" s="141"/>
      <c r="E678" s="108"/>
      <c r="F678" s="22"/>
      <c r="G678" s="219"/>
      <c r="H678" s="165"/>
      <c r="I678" s="21"/>
      <c r="J678" s="21"/>
      <c r="K678" s="182"/>
      <c r="L678" s="21"/>
      <c r="M678" s="21"/>
      <c r="N678" s="21"/>
      <c r="O678" s="21"/>
      <c r="P678" s="21"/>
      <c r="Q678" s="21"/>
      <c r="R678" s="21"/>
    </row>
    <row r="679" spans="1:18" s="1" customFormat="1">
      <c r="A679" s="282"/>
      <c r="B679" s="21"/>
      <c r="C679" s="21"/>
      <c r="D679" s="141"/>
      <c r="E679" s="108"/>
      <c r="F679" s="22"/>
      <c r="G679" s="219"/>
      <c r="H679" s="165"/>
      <c r="I679" s="21"/>
      <c r="J679" s="21"/>
      <c r="K679" s="182"/>
      <c r="L679" s="21"/>
      <c r="M679" s="21"/>
      <c r="N679" s="21"/>
      <c r="O679" s="21"/>
      <c r="P679" s="21"/>
      <c r="Q679" s="21"/>
      <c r="R679" s="21"/>
    </row>
    <row r="680" spans="1:18" s="1" customFormat="1">
      <c r="A680" s="282"/>
      <c r="B680" s="21"/>
      <c r="C680" s="21"/>
      <c r="D680" s="141"/>
      <c r="E680" s="108"/>
      <c r="F680" s="22"/>
      <c r="G680" s="219"/>
      <c r="H680" s="165"/>
      <c r="I680" s="21"/>
      <c r="J680" s="21"/>
      <c r="K680" s="182"/>
      <c r="L680" s="21"/>
      <c r="M680" s="21"/>
      <c r="N680" s="21"/>
      <c r="O680" s="21"/>
      <c r="P680" s="21"/>
      <c r="Q680" s="21"/>
      <c r="R680" s="21"/>
    </row>
    <row r="681" spans="1:18" s="1" customFormat="1">
      <c r="A681" s="282"/>
      <c r="B681" s="21"/>
      <c r="C681" s="21"/>
      <c r="D681" s="141"/>
      <c r="E681" s="108"/>
      <c r="F681" s="22"/>
      <c r="G681" s="219"/>
      <c r="H681" s="165"/>
      <c r="I681" s="21"/>
      <c r="J681" s="21"/>
      <c r="K681" s="182"/>
      <c r="L681" s="21"/>
      <c r="M681" s="21"/>
      <c r="N681" s="21"/>
      <c r="O681" s="21"/>
      <c r="P681" s="21"/>
      <c r="Q681" s="21"/>
      <c r="R681" s="21"/>
    </row>
    <row r="682" spans="1:18" s="1" customFormat="1">
      <c r="A682" s="282"/>
      <c r="B682" s="21"/>
      <c r="C682" s="21"/>
      <c r="D682" s="141"/>
      <c r="E682" s="108"/>
      <c r="F682" s="22"/>
      <c r="G682" s="219"/>
      <c r="H682" s="165"/>
      <c r="I682" s="21"/>
      <c r="J682" s="21"/>
      <c r="K682" s="182"/>
      <c r="L682" s="21"/>
      <c r="M682" s="21"/>
      <c r="N682" s="21"/>
      <c r="O682" s="21"/>
      <c r="P682" s="21"/>
      <c r="Q682" s="21"/>
      <c r="R682" s="21"/>
    </row>
    <row r="683" spans="1:18" s="1" customFormat="1">
      <c r="A683" s="282"/>
      <c r="B683" s="21"/>
      <c r="C683" s="21"/>
      <c r="D683" s="141"/>
      <c r="E683" s="108"/>
      <c r="F683" s="22"/>
      <c r="G683" s="219"/>
      <c r="H683" s="165"/>
      <c r="I683" s="21"/>
      <c r="J683" s="21"/>
      <c r="K683" s="182"/>
      <c r="L683" s="21"/>
      <c r="M683" s="21"/>
      <c r="N683" s="21"/>
      <c r="O683" s="21"/>
      <c r="P683" s="21"/>
      <c r="Q683" s="21"/>
      <c r="R683" s="21"/>
    </row>
    <row r="684" spans="1:18" s="1" customFormat="1">
      <c r="A684" s="282"/>
      <c r="B684" s="21"/>
      <c r="C684" s="21"/>
      <c r="D684" s="141"/>
      <c r="E684" s="108"/>
      <c r="F684" s="22"/>
      <c r="G684" s="219"/>
      <c r="H684" s="165"/>
      <c r="I684" s="21"/>
      <c r="J684" s="21"/>
      <c r="K684" s="182"/>
      <c r="L684" s="21"/>
      <c r="M684" s="21"/>
      <c r="N684" s="21"/>
      <c r="O684" s="21"/>
      <c r="P684" s="21"/>
      <c r="Q684" s="21"/>
      <c r="R684" s="21"/>
    </row>
    <row r="685" spans="1:18" s="1" customFormat="1">
      <c r="A685" s="282"/>
      <c r="B685" s="21"/>
      <c r="C685" s="21"/>
      <c r="D685" s="141"/>
      <c r="E685" s="108"/>
      <c r="F685" s="22"/>
      <c r="G685" s="219"/>
      <c r="H685" s="165"/>
      <c r="I685" s="21"/>
      <c r="J685" s="21"/>
      <c r="K685" s="182"/>
      <c r="L685" s="21"/>
      <c r="M685" s="21"/>
      <c r="N685" s="21"/>
      <c r="O685" s="21"/>
      <c r="P685" s="21"/>
      <c r="Q685" s="21"/>
      <c r="R685" s="21"/>
    </row>
    <row r="686" spans="1:18" s="1" customFormat="1">
      <c r="A686" s="282"/>
      <c r="B686" s="21"/>
      <c r="C686" s="21"/>
      <c r="D686" s="141"/>
      <c r="E686" s="108"/>
      <c r="F686" s="22"/>
      <c r="G686" s="219"/>
      <c r="H686" s="165"/>
      <c r="I686" s="21"/>
      <c r="J686" s="21"/>
      <c r="K686" s="182"/>
      <c r="L686" s="21"/>
      <c r="M686" s="21"/>
      <c r="N686" s="21"/>
      <c r="O686" s="21"/>
      <c r="P686" s="21"/>
      <c r="Q686" s="21"/>
      <c r="R686" s="21"/>
    </row>
    <row r="687" spans="1:18" s="1" customFormat="1">
      <c r="A687" s="282"/>
      <c r="B687" s="21"/>
      <c r="C687" s="21"/>
      <c r="D687" s="141"/>
      <c r="E687" s="108"/>
      <c r="F687" s="22"/>
      <c r="G687" s="219"/>
      <c r="H687" s="165"/>
      <c r="I687" s="21"/>
      <c r="J687" s="21"/>
      <c r="K687" s="182"/>
      <c r="L687" s="21"/>
      <c r="M687" s="21"/>
      <c r="N687" s="21"/>
      <c r="O687" s="21"/>
      <c r="P687" s="21"/>
      <c r="Q687" s="21"/>
      <c r="R687" s="21"/>
    </row>
    <row r="688" spans="1:18" s="1" customFormat="1">
      <c r="A688" s="282"/>
      <c r="B688" s="21"/>
      <c r="C688" s="21"/>
      <c r="D688" s="141"/>
      <c r="E688" s="108"/>
      <c r="F688" s="22"/>
      <c r="G688" s="219"/>
      <c r="H688" s="165"/>
      <c r="I688" s="21"/>
      <c r="J688" s="21"/>
      <c r="K688" s="182"/>
      <c r="L688" s="21"/>
      <c r="M688" s="21"/>
      <c r="N688" s="21"/>
      <c r="O688" s="21"/>
      <c r="P688" s="21"/>
      <c r="Q688" s="21"/>
      <c r="R688" s="21"/>
    </row>
    <row r="689" spans="1:18" s="1" customFormat="1">
      <c r="A689" s="282"/>
      <c r="B689" s="21"/>
      <c r="C689" s="21"/>
      <c r="D689" s="141"/>
      <c r="E689" s="108"/>
      <c r="F689" s="22"/>
      <c r="G689" s="219"/>
      <c r="H689" s="165"/>
      <c r="I689" s="21"/>
      <c r="J689" s="21"/>
      <c r="K689" s="182"/>
      <c r="L689" s="21"/>
      <c r="M689" s="21"/>
      <c r="N689" s="21"/>
      <c r="O689" s="21"/>
      <c r="P689" s="21"/>
      <c r="Q689" s="21"/>
      <c r="R689" s="21"/>
    </row>
    <row r="690" spans="1:18" s="1" customFormat="1">
      <c r="A690" s="282"/>
      <c r="B690" s="21"/>
      <c r="C690" s="21"/>
      <c r="D690" s="141"/>
      <c r="E690" s="108"/>
      <c r="F690" s="22"/>
      <c r="G690" s="219"/>
      <c r="H690" s="165"/>
      <c r="I690" s="21"/>
      <c r="J690" s="21"/>
      <c r="K690" s="182"/>
      <c r="L690" s="21"/>
      <c r="M690" s="21"/>
      <c r="N690" s="21"/>
      <c r="O690" s="21"/>
      <c r="P690" s="21"/>
      <c r="Q690" s="21"/>
      <c r="R690" s="21"/>
    </row>
    <row r="691" spans="1:18" s="1" customFormat="1">
      <c r="A691" s="282"/>
      <c r="B691" s="21"/>
      <c r="C691" s="21"/>
      <c r="D691" s="141"/>
      <c r="E691" s="108"/>
      <c r="F691" s="22"/>
      <c r="G691" s="219"/>
      <c r="H691" s="165"/>
      <c r="I691" s="21"/>
      <c r="J691" s="21"/>
      <c r="K691" s="182"/>
      <c r="L691" s="21"/>
      <c r="M691" s="21"/>
      <c r="N691" s="21"/>
      <c r="O691" s="21"/>
      <c r="P691" s="21"/>
      <c r="Q691" s="21"/>
      <c r="R691" s="21"/>
    </row>
    <row r="692" spans="1:18" s="1" customFormat="1">
      <c r="A692" s="282"/>
      <c r="B692" s="21"/>
      <c r="C692" s="21"/>
      <c r="D692" s="141"/>
      <c r="E692" s="108"/>
      <c r="F692" s="22"/>
      <c r="G692" s="219"/>
      <c r="H692" s="165"/>
      <c r="I692" s="21"/>
      <c r="J692" s="21"/>
      <c r="K692" s="182"/>
      <c r="L692" s="21"/>
      <c r="M692" s="21"/>
      <c r="N692" s="21"/>
      <c r="O692" s="21"/>
      <c r="P692" s="21"/>
      <c r="Q692" s="21"/>
      <c r="R692" s="21"/>
    </row>
    <row r="693" spans="1:18" s="1" customFormat="1">
      <c r="A693" s="282"/>
      <c r="B693" s="21"/>
      <c r="C693" s="21"/>
      <c r="D693" s="141"/>
      <c r="E693" s="108"/>
      <c r="F693" s="22"/>
      <c r="G693" s="219"/>
      <c r="H693" s="165"/>
      <c r="I693" s="21"/>
      <c r="J693" s="21"/>
      <c r="K693" s="182"/>
      <c r="L693" s="21"/>
      <c r="M693" s="21"/>
      <c r="N693" s="21"/>
      <c r="O693" s="21"/>
      <c r="P693" s="21"/>
      <c r="Q693" s="21"/>
      <c r="R693" s="21"/>
    </row>
    <row r="694" spans="1:18" s="1" customFormat="1">
      <c r="A694" s="282"/>
      <c r="B694" s="21"/>
      <c r="C694" s="21"/>
      <c r="D694" s="141"/>
      <c r="E694" s="108"/>
      <c r="F694" s="22"/>
      <c r="G694" s="219"/>
      <c r="H694" s="165"/>
      <c r="I694" s="21"/>
      <c r="J694" s="21"/>
      <c r="K694" s="182"/>
      <c r="L694" s="21"/>
      <c r="M694" s="21"/>
      <c r="N694" s="21"/>
      <c r="O694" s="21"/>
      <c r="P694" s="21"/>
      <c r="Q694" s="21"/>
      <c r="R694" s="21"/>
    </row>
    <row r="695" spans="1:18" s="1" customFormat="1">
      <c r="A695" s="282"/>
      <c r="B695" s="21"/>
      <c r="C695" s="21"/>
      <c r="D695" s="141"/>
      <c r="E695" s="108"/>
      <c r="F695" s="22"/>
      <c r="G695" s="219"/>
      <c r="H695" s="165"/>
      <c r="I695" s="21"/>
      <c r="J695" s="21"/>
      <c r="K695" s="182"/>
      <c r="L695" s="21"/>
      <c r="M695" s="21"/>
      <c r="N695" s="21"/>
      <c r="O695" s="21"/>
      <c r="P695" s="21"/>
      <c r="Q695" s="21"/>
      <c r="R695" s="21"/>
    </row>
    <row r="696" spans="1:18" s="1" customFormat="1">
      <c r="A696" s="282"/>
      <c r="B696" s="21"/>
      <c r="C696" s="21"/>
      <c r="D696" s="141"/>
      <c r="E696" s="108"/>
      <c r="F696" s="22"/>
      <c r="G696" s="219"/>
      <c r="H696" s="165"/>
      <c r="I696" s="21"/>
      <c r="J696" s="21"/>
      <c r="K696" s="182"/>
      <c r="L696" s="21"/>
      <c r="M696" s="21"/>
      <c r="N696" s="21"/>
      <c r="O696" s="21"/>
      <c r="P696" s="21"/>
      <c r="Q696" s="21"/>
      <c r="R696" s="21"/>
    </row>
    <row r="697" spans="1:18" s="1" customFormat="1">
      <c r="A697" s="282"/>
      <c r="B697" s="21"/>
      <c r="C697" s="21"/>
      <c r="D697" s="141"/>
      <c r="E697" s="108"/>
      <c r="F697" s="22"/>
      <c r="G697" s="219"/>
      <c r="H697" s="165"/>
      <c r="I697" s="21"/>
      <c r="J697" s="21"/>
      <c r="K697" s="182"/>
      <c r="L697" s="21"/>
      <c r="M697" s="21"/>
      <c r="N697" s="21"/>
      <c r="O697" s="21"/>
      <c r="P697" s="21"/>
      <c r="Q697" s="21"/>
      <c r="R697" s="21"/>
    </row>
    <row r="698" spans="1:18" s="1" customFormat="1">
      <c r="A698" s="282"/>
      <c r="B698" s="21"/>
      <c r="C698" s="21"/>
      <c r="D698" s="141"/>
      <c r="E698" s="108"/>
      <c r="F698" s="22"/>
      <c r="G698" s="219"/>
      <c r="H698" s="165"/>
      <c r="I698" s="21"/>
      <c r="J698" s="21"/>
      <c r="K698" s="182"/>
      <c r="L698" s="21"/>
      <c r="M698" s="21"/>
      <c r="N698" s="21"/>
      <c r="O698" s="21"/>
      <c r="P698" s="21"/>
      <c r="Q698" s="21"/>
      <c r="R698" s="21"/>
    </row>
    <row r="699" spans="1:18" s="1" customFormat="1">
      <c r="A699" s="282"/>
      <c r="B699" s="21"/>
      <c r="C699" s="21"/>
      <c r="D699" s="141"/>
      <c r="E699" s="108"/>
      <c r="F699" s="22"/>
      <c r="G699" s="219"/>
      <c r="H699" s="165"/>
      <c r="I699" s="21"/>
      <c r="J699" s="21"/>
      <c r="K699" s="182"/>
      <c r="L699" s="21"/>
      <c r="M699" s="21"/>
      <c r="N699" s="21"/>
      <c r="O699" s="21"/>
      <c r="P699" s="21"/>
      <c r="Q699" s="21"/>
      <c r="R699" s="21"/>
    </row>
    <row r="700" spans="1:18" s="1" customFormat="1">
      <c r="A700" s="282"/>
      <c r="B700" s="21"/>
      <c r="C700" s="21"/>
      <c r="D700" s="141"/>
      <c r="E700" s="108"/>
      <c r="F700" s="22"/>
      <c r="G700" s="219"/>
      <c r="H700" s="165"/>
      <c r="I700" s="21"/>
      <c r="J700" s="21"/>
      <c r="K700" s="182"/>
      <c r="L700" s="21"/>
      <c r="M700" s="21"/>
      <c r="N700" s="21"/>
      <c r="O700" s="21"/>
      <c r="P700" s="21"/>
      <c r="Q700" s="21"/>
      <c r="R700" s="21"/>
    </row>
    <row r="701" spans="1:18" s="1" customFormat="1">
      <c r="A701" s="282"/>
      <c r="B701" s="21"/>
      <c r="C701" s="21"/>
      <c r="D701" s="141"/>
      <c r="E701" s="108"/>
      <c r="F701" s="22"/>
      <c r="G701" s="219"/>
      <c r="H701" s="165"/>
      <c r="I701" s="21"/>
      <c r="J701" s="21"/>
      <c r="K701" s="182"/>
      <c r="L701" s="21"/>
      <c r="M701" s="21"/>
      <c r="N701" s="21"/>
      <c r="O701" s="21"/>
      <c r="P701" s="21"/>
      <c r="Q701" s="21"/>
      <c r="R701" s="21"/>
    </row>
    <row r="702" spans="1:18" s="1" customFormat="1">
      <c r="A702" s="282"/>
      <c r="B702" s="21"/>
      <c r="C702" s="21"/>
      <c r="D702" s="141"/>
      <c r="E702" s="108"/>
      <c r="F702" s="22"/>
      <c r="G702" s="219"/>
      <c r="H702" s="165"/>
      <c r="I702" s="21"/>
      <c r="J702" s="21"/>
      <c r="K702" s="182"/>
      <c r="L702" s="21"/>
      <c r="M702" s="21"/>
      <c r="N702" s="21"/>
      <c r="O702" s="21"/>
      <c r="P702" s="21"/>
      <c r="Q702" s="21"/>
      <c r="R702" s="21"/>
    </row>
    <row r="703" spans="1:18" s="1" customFormat="1">
      <c r="A703" s="282"/>
      <c r="B703" s="21"/>
      <c r="C703" s="21"/>
      <c r="D703" s="141"/>
      <c r="E703" s="108"/>
      <c r="F703" s="22"/>
      <c r="G703" s="219"/>
      <c r="H703" s="165"/>
      <c r="I703" s="21"/>
      <c r="J703" s="21"/>
      <c r="K703" s="182"/>
      <c r="L703" s="21"/>
      <c r="M703" s="21"/>
      <c r="N703" s="21"/>
      <c r="O703" s="21"/>
      <c r="P703" s="21"/>
      <c r="Q703" s="21"/>
      <c r="R703" s="21"/>
    </row>
    <row r="704" spans="1:18" s="1" customFormat="1">
      <c r="A704" s="282"/>
      <c r="B704" s="21"/>
      <c r="C704" s="21"/>
      <c r="D704" s="141"/>
      <c r="E704" s="108"/>
      <c r="F704" s="22"/>
      <c r="G704" s="219"/>
      <c r="H704" s="165"/>
      <c r="I704" s="21"/>
      <c r="J704" s="21"/>
      <c r="K704" s="182"/>
      <c r="L704" s="21"/>
      <c r="M704" s="21"/>
      <c r="N704" s="21"/>
      <c r="O704" s="21"/>
      <c r="P704" s="21"/>
      <c r="Q704" s="21"/>
      <c r="R704" s="21"/>
    </row>
    <row r="705" spans="1:18" s="1" customFormat="1">
      <c r="A705" s="282"/>
      <c r="B705" s="21"/>
      <c r="C705" s="21"/>
      <c r="D705" s="141"/>
      <c r="E705" s="108"/>
      <c r="F705" s="22"/>
      <c r="G705" s="219"/>
      <c r="H705" s="165"/>
      <c r="I705" s="21"/>
      <c r="J705" s="21"/>
      <c r="K705" s="182"/>
      <c r="L705" s="21"/>
      <c r="M705" s="21"/>
      <c r="N705" s="21"/>
      <c r="O705" s="21"/>
      <c r="P705" s="21"/>
      <c r="Q705" s="21"/>
      <c r="R705" s="21"/>
    </row>
    <row r="706" spans="1:18" s="1" customFormat="1">
      <c r="A706" s="282"/>
      <c r="B706" s="21"/>
      <c r="C706" s="21"/>
      <c r="D706" s="141"/>
      <c r="E706" s="108"/>
      <c r="F706" s="22"/>
      <c r="G706" s="219"/>
      <c r="H706" s="165"/>
      <c r="I706" s="21"/>
      <c r="J706" s="21"/>
      <c r="K706" s="182"/>
      <c r="L706" s="21"/>
      <c r="M706" s="21"/>
      <c r="N706" s="21"/>
      <c r="O706" s="21"/>
      <c r="P706" s="21"/>
      <c r="Q706" s="21"/>
      <c r="R706" s="21"/>
    </row>
    <row r="707" spans="1:18" s="1" customFormat="1">
      <c r="A707" s="282"/>
      <c r="B707" s="21"/>
      <c r="C707" s="21"/>
      <c r="D707" s="141"/>
      <c r="E707" s="108"/>
      <c r="F707" s="22"/>
      <c r="G707" s="219"/>
      <c r="H707" s="165"/>
      <c r="I707" s="21"/>
      <c r="J707" s="21"/>
      <c r="K707" s="182"/>
      <c r="L707" s="21"/>
      <c r="M707" s="21"/>
      <c r="N707" s="21"/>
      <c r="O707" s="21"/>
      <c r="P707" s="21"/>
      <c r="Q707" s="21"/>
      <c r="R707" s="21"/>
    </row>
    <row r="708" spans="1:18" s="1" customFormat="1">
      <c r="A708" s="282"/>
      <c r="B708" s="21"/>
      <c r="C708" s="21"/>
      <c r="D708" s="141"/>
      <c r="E708" s="108"/>
      <c r="F708" s="22"/>
      <c r="G708" s="219"/>
      <c r="H708" s="165"/>
      <c r="I708" s="21"/>
      <c r="J708" s="21"/>
      <c r="K708" s="182"/>
      <c r="L708" s="21"/>
      <c r="M708" s="21"/>
      <c r="N708" s="21"/>
      <c r="O708" s="21"/>
      <c r="P708" s="21"/>
      <c r="Q708" s="21"/>
      <c r="R708" s="21"/>
    </row>
    <row r="709" spans="1:18" s="1" customFormat="1">
      <c r="A709" s="282"/>
      <c r="B709" s="21"/>
      <c r="C709" s="21"/>
      <c r="D709" s="141"/>
      <c r="E709" s="108"/>
      <c r="F709" s="22"/>
      <c r="G709" s="219"/>
      <c r="H709" s="165"/>
      <c r="I709" s="21"/>
      <c r="J709" s="21"/>
      <c r="K709" s="182"/>
      <c r="L709" s="21"/>
      <c r="M709" s="21"/>
      <c r="N709" s="21"/>
      <c r="O709" s="21"/>
      <c r="P709" s="21"/>
      <c r="Q709" s="21"/>
      <c r="R709" s="21"/>
    </row>
    <row r="710" spans="1:18" s="1" customFormat="1">
      <c r="A710" s="282"/>
      <c r="B710" s="21"/>
      <c r="C710" s="21"/>
      <c r="D710" s="141"/>
      <c r="E710" s="108"/>
      <c r="F710" s="22"/>
      <c r="G710" s="219"/>
      <c r="H710" s="165"/>
      <c r="I710" s="21"/>
      <c r="J710" s="21"/>
      <c r="K710" s="182"/>
      <c r="L710" s="21"/>
      <c r="M710" s="21"/>
      <c r="N710" s="21"/>
      <c r="O710" s="21"/>
      <c r="P710" s="21"/>
      <c r="Q710" s="21"/>
      <c r="R710" s="21"/>
    </row>
    <row r="711" spans="1:18" s="1" customFormat="1">
      <c r="A711" s="282"/>
      <c r="B711" s="21"/>
      <c r="C711" s="21"/>
      <c r="D711" s="141"/>
      <c r="E711" s="108"/>
      <c r="F711" s="22"/>
      <c r="G711" s="219"/>
      <c r="H711" s="165"/>
      <c r="I711" s="21"/>
      <c r="J711" s="21"/>
      <c r="K711" s="182"/>
      <c r="L711" s="21"/>
      <c r="M711" s="21"/>
      <c r="N711" s="21"/>
      <c r="O711" s="21"/>
      <c r="P711" s="21"/>
      <c r="Q711" s="21"/>
      <c r="R711" s="21"/>
    </row>
    <row r="712" spans="1:18" s="1" customFormat="1">
      <c r="A712" s="282"/>
      <c r="B712" s="21"/>
      <c r="C712" s="21"/>
      <c r="D712" s="141"/>
      <c r="E712" s="108"/>
      <c r="F712" s="22"/>
      <c r="G712" s="219"/>
      <c r="H712" s="165"/>
      <c r="I712" s="21"/>
      <c r="J712" s="21"/>
      <c r="K712" s="182"/>
      <c r="L712" s="21"/>
      <c r="M712" s="21"/>
      <c r="N712" s="21"/>
      <c r="O712" s="21"/>
      <c r="P712" s="21"/>
      <c r="Q712" s="21"/>
      <c r="R712" s="21"/>
    </row>
    <row r="713" spans="1:18" s="1" customFormat="1">
      <c r="A713" s="282"/>
      <c r="B713" s="21"/>
      <c r="C713" s="21"/>
      <c r="D713" s="141"/>
      <c r="E713" s="108"/>
      <c r="F713" s="22"/>
      <c r="G713" s="219"/>
      <c r="H713" s="165"/>
      <c r="I713" s="21"/>
      <c r="J713" s="21"/>
      <c r="K713" s="182"/>
      <c r="L713" s="21"/>
      <c r="M713" s="21"/>
      <c r="N713" s="21"/>
      <c r="O713" s="21"/>
      <c r="P713" s="21"/>
      <c r="Q713" s="21"/>
      <c r="R713" s="21"/>
    </row>
    <row r="714" spans="1:18" s="1" customFormat="1">
      <c r="A714" s="282"/>
      <c r="B714" s="21"/>
      <c r="C714" s="21"/>
      <c r="D714" s="141"/>
      <c r="E714" s="108"/>
      <c r="F714" s="22"/>
      <c r="G714" s="219"/>
      <c r="H714" s="165"/>
      <c r="I714" s="21"/>
      <c r="J714" s="21"/>
      <c r="K714" s="182"/>
      <c r="L714" s="21"/>
      <c r="M714" s="21"/>
      <c r="N714" s="21"/>
      <c r="O714" s="21"/>
      <c r="P714" s="21"/>
      <c r="Q714" s="21"/>
      <c r="R714" s="21"/>
    </row>
    <row r="715" spans="1:18" s="1" customFormat="1">
      <c r="A715" s="282"/>
      <c r="B715" s="21"/>
      <c r="C715" s="21"/>
      <c r="D715" s="141"/>
      <c r="E715" s="108"/>
      <c r="F715" s="22"/>
      <c r="G715" s="219"/>
      <c r="H715" s="165"/>
      <c r="I715" s="21"/>
      <c r="J715" s="21"/>
      <c r="K715" s="182"/>
      <c r="L715" s="21"/>
      <c r="M715" s="21"/>
      <c r="N715" s="21"/>
      <c r="O715" s="21"/>
      <c r="P715" s="21"/>
      <c r="Q715" s="21"/>
      <c r="R715" s="21"/>
    </row>
    <row r="716" spans="1:18" s="1" customFormat="1">
      <c r="A716" s="282"/>
      <c r="B716" s="21"/>
      <c r="C716" s="21"/>
      <c r="D716" s="141"/>
      <c r="E716" s="108"/>
      <c r="F716" s="22"/>
      <c r="G716" s="219"/>
      <c r="H716" s="165"/>
      <c r="I716" s="21"/>
      <c r="J716" s="21"/>
      <c r="K716" s="182"/>
      <c r="L716" s="21"/>
      <c r="M716" s="21"/>
      <c r="N716" s="21"/>
      <c r="O716" s="21"/>
      <c r="P716" s="21"/>
      <c r="Q716" s="21"/>
      <c r="R716" s="21"/>
    </row>
    <row r="717" spans="1:18" s="1" customFormat="1">
      <c r="A717" s="282"/>
      <c r="B717" s="21"/>
      <c r="C717" s="21"/>
      <c r="D717" s="141"/>
      <c r="E717" s="108"/>
      <c r="F717" s="22"/>
      <c r="G717" s="219"/>
      <c r="H717" s="165"/>
      <c r="I717" s="21"/>
      <c r="J717" s="21"/>
      <c r="K717" s="182"/>
      <c r="L717" s="21"/>
      <c r="M717" s="21"/>
      <c r="N717" s="21"/>
      <c r="O717" s="21"/>
      <c r="P717" s="21"/>
      <c r="Q717" s="21"/>
      <c r="R717" s="21"/>
    </row>
    <row r="718" spans="1:18" s="1" customFormat="1">
      <c r="A718" s="282"/>
      <c r="B718" s="21"/>
      <c r="C718" s="21"/>
      <c r="D718" s="141"/>
      <c r="E718" s="108"/>
      <c r="F718" s="22"/>
      <c r="G718" s="219"/>
      <c r="H718" s="165"/>
      <c r="I718" s="21"/>
      <c r="J718" s="21"/>
      <c r="K718" s="182"/>
      <c r="L718" s="21"/>
      <c r="M718" s="21"/>
      <c r="N718" s="21"/>
      <c r="O718" s="21"/>
      <c r="P718" s="21"/>
      <c r="Q718" s="21"/>
      <c r="R718" s="21"/>
    </row>
    <row r="719" spans="1:18" s="1" customFormat="1">
      <c r="A719" s="282"/>
      <c r="B719" s="21"/>
      <c r="C719" s="21"/>
      <c r="D719" s="141"/>
      <c r="E719" s="108"/>
      <c r="F719" s="22"/>
      <c r="G719" s="219"/>
      <c r="H719" s="165"/>
      <c r="I719" s="21"/>
      <c r="J719" s="21"/>
      <c r="K719" s="182"/>
      <c r="L719" s="21"/>
      <c r="M719" s="21"/>
      <c r="N719" s="21"/>
      <c r="O719" s="21"/>
      <c r="P719" s="21"/>
      <c r="Q719" s="21"/>
      <c r="R719" s="21"/>
    </row>
    <row r="720" spans="1:18" s="1" customFormat="1">
      <c r="A720" s="282"/>
      <c r="B720" s="21"/>
      <c r="C720" s="21"/>
      <c r="D720" s="141"/>
      <c r="E720" s="108"/>
      <c r="F720" s="22"/>
      <c r="G720" s="219"/>
      <c r="H720" s="165"/>
      <c r="I720" s="21"/>
      <c r="J720" s="21"/>
      <c r="K720" s="182"/>
      <c r="L720" s="21"/>
      <c r="M720" s="21"/>
      <c r="N720" s="21"/>
      <c r="O720" s="21"/>
      <c r="P720" s="21"/>
      <c r="Q720" s="21"/>
      <c r="R720" s="21"/>
    </row>
    <row r="721" spans="1:18" s="1" customFormat="1">
      <c r="A721" s="282"/>
      <c r="B721" s="21"/>
      <c r="C721" s="21"/>
      <c r="D721" s="141"/>
      <c r="E721" s="108"/>
      <c r="F721" s="22"/>
      <c r="G721" s="219"/>
      <c r="H721" s="165"/>
      <c r="I721" s="21"/>
      <c r="J721" s="21"/>
      <c r="K721" s="182"/>
      <c r="L721" s="21"/>
      <c r="M721" s="21"/>
      <c r="N721" s="21"/>
      <c r="O721" s="21"/>
      <c r="P721" s="21"/>
      <c r="Q721" s="21"/>
      <c r="R721" s="21"/>
    </row>
    <row r="722" spans="1:18" s="1" customFormat="1">
      <c r="A722" s="282"/>
      <c r="B722" s="21"/>
      <c r="C722" s="21"/>
      <c r="D722" s="141"/>
      <c r="E722" s="108"/>
      <c r="F722" s="22"/>
      <c r="G722" s="219"/>
      <c r="H722" s="165"/>
      <c r="I722" s="21"/>
      <c r="J722" s="21"/>
      <c r="K722" s="182"/>
      <c r="L722" s="21"/>
      <c r="M722" s="21"/>
      <c r="N722" s="21"/>
      <c r="O722" s="21"/>
      <c r="P722" s="21"/>
      <c r="Q722" s="21"/>
      <c r="R722" s="21"/>
    </row>
    <row r="723" spans="1:18" s="1" customFormat="1">
      <c r="A723" s="282"/>
      <c r="B723" s="21"/>
      <c r="C723" s="21"/>
      <c r="D723" s="141"/>
      <c r="E723" s="108"/>
      <c r="F723" s="22"/>
      <c r="G723" s="219"/>
      <c r="H723" s="165"/>
      <c r="I723" s="21"/>
      <c r="J723" s="21"/>
      <c r="K723" s="182"/>
      <c r="L723" s="21"/>
      <c r="M723" s="21"/>
      <c r="N723" s="21"/>
      <c r="O723" s="21"/>
      <c r="P723" s="21"/>
      <c r="Q723" s="21"/>
      <c r="R723" s="21"/>
    </row>
    <row r="724" spans="1:18" s="1" customFormat="1">
      <c r="A724" s="282"/>
      <c r="B724" s="21"/>
      <c r="C724" s="21"/>
      <c r="D724" s="141"/>
      <c r="E724" s="108"/>
      <c r="F724" s="22"/>
      <c r="G724" s="219"/>
      <c r="H724" s="165"/>
      <c r="I724" s="21"/>
      <c r="J724" s="21"/>
      <c r="K724" s="182"/>
      <c r="L724" s="21"/>
      <c r="M724" s="21"/>
      <c r="N724" s="21"/>
      <c r="O724" s="21"/>
      <c r="P724" s="21"/>
      <c r="Q724" s="21"/>
      <c r="R724" s="21"/>
    </row>
    <row r="725" spans="1:18" s="1" customFormat="1">
      <c r="A725" s="282"/>
      <c r="B725" s="21"/>
      <c r="C725" s="21"/>
      <c r="D725" s="141"/>
      <c r="E725" s="108"/>
      <c r="F725" s="22"/>
      <c r="G725" s="219"/>
      <c r="H725" s="165"/>
      <c r="I725" s="21"/>
      <c r="J725" s="21"/>
      <c r="K725" s="182"/>
      <c r="L725" s="21"/>
      <c r="M725" s="21"/>
      <c r="N725" s="21"/>
      <c r="O725" s="21"/>
      <c r="P725" s="21"/>
      <c r="Q725" s="21"/>
      <c r="R725" s="21"/>
    </row>
    <row r="726" spans="1:18" s="1" customFormat="1">
      <c r="A726" s="282"/>
      <c r="B726" s="21"/>
      <c r="C726" s="21"/>
      <c r="D726" s="141"/>
      <c r="E726" s="108"/>
      <c r="F726" s="22"/>
      <c r="G726" s="219"/>
      <c r="H726" s="165"/>
      <c r="I726" s="21"/>
      <c r="J726" s="21"/>
      <c r="K726" s="182"/>
      <c r="L726" s="21"/>
      <c r="M726" s="21"/>
      <c r="N726" s="21"/>
      <c r="O726" s="21"/>
      <c r="P726" s="21"/>
      <c r="Q726" s="21"/>
      <c r="R726" s="21"/>
    </row>
    <row r="727" spans="1:18" s="1" customFormat="1">
      <c r="A727" s="282"/>
      <c r="B727" s="21"/>
      <c r="C727" s="21"/>
      <c r="D727" s="141"/>
      <c r="E727" s="108"/>
      <c r="F727" s="22"/>
      <c r="G727" s="219"/>
      <c r="H727" s="165"/>
      <c r="I727" s="21"/>
      <c r="J727" s="21"/>
      <c r="K727" s="182"/>
      <c r="L727" s="21"/>
      <c r="M727" s="21"/>
      <c r="N727" s="21"/>
      <c r="O727" s="21"/>
      <c r="P727" s="21"/>
      <c r="Q727" s="21"/>
      <c r="R727" s="21"/>
    </row>
    <row r="728" spans="1:18" s="1" customFormat="1">
      <c r="A728" s="282"/>
      <c r="B728" s="21"/>
      <c r="C728" s="21"/>
      <c r="D728" s="141"/>
      <c r="E728" s="108"/>
      <c r="F728" s="22"/>
      <c r="G728" s="219"/>
      <c r="H728" s="165"/>
      <c r="I728" s="21"/>
      <c r="J728" s="21"/>
      <c r="K728" s="182"/>
      <c r="L728" s="21"/>
      <c r="M728" s="21"/>
      <c r="N728" s="21"/>
      <c r="O728" s="21"/>
      <c r="P728" s="21"/>
      <c r="Q728" s="21"/>
      <c r="R728" s="21"/>
    </row>
    <row r="729" spans="1:18" s="1" customFormat="1">
      <c r="A729" s="282"/>
      <c r="B729" s="21"/>
      <c r="C729" s="21"/>
      <c r="D729" s="141"/>
      <c r="E729" s="108"/>
      <c r="F729" s="22"/>
      <c r="G729" s="219"/>
      <c r="H729" s="165"/>
      <c r="I729" s="21"/>
      <c r="J729" s="21"/>
      <c r="K729" s="182"/>
      <c r="L729" s="21"/>
      <c r="M729" s="21"/>
      <c r="N729" s="21"/>
      <c r="O729" s="21"/>
      <c r="P729" s="21"/>
      <c r="Q729" s="21"/>
      <c r="R729" s="21"/>
    </row>
    <row r="730" spans="1:18" s="1" customFormat="1">
      <c r="A730" s="282"/>
      <c r="B730" s="21"/>
      <c r="C730" s="21"/>
      <c r="D730" s="141"/>
      <c r="E730" s="108"/>
      <c r="F730" s="22"/>
      <c r="G730" s="219"/>
      <c r="H730" s="165"/>
      <c r="I730" s="21"/>
      <c r="J730" s="21"/>
      <c r="K730" s="182"/>
      <c r="L730" s="21"/>
      <c r="M730" s="21"/>
      <c r="N730" s="21"/>
      <c r="O730" s="21"/>
      <c r="P730" s="21"/>
      <c r="Q730" s="21"/>
      <c r="R730" s="21"/>
    </row>
    <row r="731" spans="1:18" s="1" customFormat="1">
      <c r="A731" s="282"/>
      <c r="B731" s="21"/>
      <c r="C731" s="21"/>
      <c r="D731" s="141"/>
      <c r="E731" s="108"/>
      <c r="F731" s="22"/>
      <c r="G731" s="219"/>
      <c r="H731" s="165"/>
      <c r="I731" s="21"/>
      <c r="J731" s="21"/>
      <c r="K731" s="182"/>
      <c r="L731" s="21"/>
      <c r="M731" s="21"/>
      <c r="N731" s="21"/>
      <c r="O731" s="21"/>
      <c r="P731" s="21"/>
      <c r="Q731" s="21"/>
      <c r="R731" s="21"/>
    </row>
    <row r="732" spans="1:18" s="1" customFormat="1">
      <c r="A732" s="282"/>
      <c r="B732" s="21"/>
      <c r="C732" s="21"/>
      <c r="D732" s="141"/>
      <c r="E732" s="108"/>
      <c r="F732" s="22"/>
      <c r="G732" s="219"/>
      <c r="H732" s="165"/>
      <c r="I732" s="21"/>
      <c r="J732" s="21"/>
      <c r="K732" s="182"/>
      <c r="L732" s="21"/>
      <c r="M732" s="21"/>
      <c r="N732" s="21"/>
      <c r="O732" s="21"/>
      <c r="P732" s="21"/>
      <c r="Q732" s="21"/>
      <c r="R732" s="21"/>
    </row>
    <row r="733" spans="1:18" s="1" customFormat="1">
      <c r="A733" s="282"/>
      <c r="B733" s="21"/>
      <c r="C733" s="21"/>
      <c r="D733" s="141"/>
      <c r="E733" s="108"/>
      <c r="F733" s="22"/>
      <c r="G733" s="219"/>
      <c r="H733" s="165"/>
      <c r="I733" s="21"/>
      <c r="J733" s="21"/>
      <c r="K733" s="182"/>
      <c r="L733" s="21"/>
      <c r="M733" s="21"/>
      <c r="N733" s="21"/>
      <c r="O733" s="21"/>
      <c r="P733" s="21"/>
      <c r="Q733" s="21"/>
      <c r="R733" s="21"/>
    </row>
    <row r="734" spans="1:18" s="1" customFormat="1">
      <c r="A734" s="282"/>
      <c r="B734" s="21"/>
      <c r="C734" s="21"/>
      <c r="D734" s="141"/>
      <c r="E734" s="108"/>
      <c r="F734" s="22"/>
      <c r="G734" s="219"/>
      <c r="H734" s="165"/>
      <c r="I734" s="21"/>
      <c r="J734" s="21"/>
      <c r="K734" s="182"/>
      <c r="L734" s="21"/>
      <c r="M734" s="21"/>
      <c r="N734" s="21"/>
      <c r="O734" s="21"/>
      <c r="P734" s="21"/>
      <c r="Q734" s="21"/>
      <c r="R734" s="21"/>
    </row>
    <row r="735" spans="1:18" s="1" customFormat="1">
      <c r="A735" s="282"/>
      <c r="B735" s="21"/>
      <c r="C735" s="21"/>
      <c r="D735" s="141"/>
      <c r="E735" s="108"/>
      <c r="F735" s="22"/>
      <c r="G735" s="219"/>
      <c r="H735" s="165"/>
      <c r="I735" s="21"/>
      <c r="J735" s="21"/>
      <c r="K735" s="182"/>
      <c r="L735" s="21"/>
      <c r="M735" s="21"/>
      <c r="N735" s="21"/>
      <c r="O735" s="21"/>
      <c r="P735" s="21"/>
      <c r="Q735" s="21"/>
      <c r="R735" s="21"/>
    </row>
    <row r="736" spans="1:18" s="1" customFormat="1">
      <c r="A736" s="282"/>
      <c r="B736" s="21"/>
      <c r="C736" s="21"/>
      <c r="D736" s="141"/>
      <c r="E736" s="108"/>
      <c r="F736" s="22"/>
      <c r="G736" s="219"/>
      <c r="H736" s="165"/>
      <c r="I736" s="21"/>
      <c r="J736" s="21"/>
      <c r="K736" s="182"/>
      <c r="L736" s="21"/>
      <c r="M736" s="21"/>
      <c r="N736" s="21"/>
      <c r="O736" s="21"/>
      <c r="P736" s="21"/>
      <c r="Q736" s="21"/>
      <c r="R736" s="21"/>
    </row>
    <row r="737" spans="1:18" s="1" customFormat="1">
      <c r="A737" s="282"/>
      <c r="B737" s="21"/>
      <c r="C737" s="21"/>
      <c r="D737" s="141"/>
      <c r="E737" s="108"/>
      <c r="F737" s="22"/>
      <c r="G737" s="219"/>
      <c r="H737" s="165"/>
      <c r="I737" s="21"/>
      <c r="J737" s="21"/>
      <c r="K737" s="182"/>
      <c r="L737" s="21"/>
      <c r="M737" s="21"/>
      <c r="N737" s="21"/>
      <c r="O737" s="21"/>
      <c r="P737" s="21"/>
      <c r="Q737" s="21"/>
      <c r="R737" s="21"/>
    </row>
    <row r="738" spans="1:18" s="1" customFormat="1">
      <c r="A738" s="282"/>
      <c r="B738" s="21"/>
      <c r="C738" s="21"/>
      <c r="D738" s="141"/>
      <c r="E738" s="108"/>
      <c r="F738" s="22"/>
      <c r="G738" s="219"/>
      <c r="H738" s="165"/>
      <c r="I738" s="21"/>
      <c r="J738" s="21"/>
      <c r="K738" s="182"/>
      <c r="L738" s="21"/>
      <c r="M738" s="21"/>
      <c r="N738" s="21"/>
      <c r="O738" s="21"/>
      <c r="P738" s="21"/>
      <c r="Q738" s="21"/>
      <c r="R738" s="21"/>
    </row>
    <row r="739" spans="1:18" s="1" customFormat="1">
      <c r="A739" s="282"/>
      <c r="B739" s="21"/>
      <c r="C739" s="21"/>
      <c r="D739" s="141"/>
      <c r="E739" s="108"/>
      <c r="F739" s="22"/>
      <c r="G739" s="219"/>
      <c r="H739" s="165"/>
      <c r="I739" s="21"/>
      <c r="J739" s="21"/>
      <c r="K739" s="182"/>
      <c r="L739" s="21"/>
      <c r="M739" s="21"/>
      <c r="N739" s="21"/>
      <c r="O739" s="21"/>
      <c r="P739" s="21"/>
      <c r="Q739" s="21"/>
      <c r="R739" s="21"/>
    </row>
    <row r="740" spans="1:18" s="1" customFormat="1">
      <c r="A740" s="282"/>
      <c r="B740" s="21"/>
      <c r="C740" s="21"/>
      <c r="D740" s="141"/>
      <c r="E740" s="108"/>
      <c r="F740" s="22"/>
      <c r="G740" s="219"/>
      <c r="H740" s="165"/>
      <c r="I740" s="21"/>
      <c r="J740" s="21"/>
      <c r="K740" s="182"/>
      <c r="L740" s="21"/>
      <c r="M740" s="21"/>
      <c r="N740" s="21"/>
      <c r="O740" s="21"/>
      <c r="P740" s="21"/>
      <c r="Q740" s="21"/>
      <c r="R740" s="21"/>
    </row>
    <row r="741" spans="1:18" s="1" customFormat="1">
      <c r="A741" s="282"/>
      <c r="B741" s="21"/>
      <c r="C741" s="21"/>
      <c r="D741" s="141"/>
      <c r="E741" s="108"/>
      <c r="F741" s="22"/>
      <c r="G741" s="219"/>
      <c r="H741" s="165"/>
      <c r="I741" s="21"/>
      <c r="J741" s="21"/>
      <c r="K741" s="182"/>
      <c r="L741" s="21"/>
      <c r="M741" s="21"/>
      <c r="N741" s="21"/>
      <c r="O741" s="21"/>
      <c r="P741" s="21"/>
      <c r="Q741" s="21"/>
      <c r="R741" s="21"/>
    </row>
    <row r="742" spans="1:18" s="1" customFormat="1">
      <c r="A742" s="282"/>
      <c r="B742" s="21"/>
      <c r="C742" s="21"/>
      <c r="D742" s="141"/>
      <c r="E742" s="108"/>
      <c r="F742" s="22"/>
      <c r="G742" s="219"/>
      <c r="H742" s="165"/>
      <c r="I742" s="21"/>
      <c r="J742" s="21"/>
      <c r="K742" s="182"/>
      <c r="L742" s="21"/>
      <c r="M742" s="21"/>
      <c r="N742" s="21"/>
      <c r="O742" s="21"/>
      <c r="P742" s="21"/>
      <c r="Q742" s="21"/>
      <c r="R742" s="21"/>
    </row>
    <row r="743" spans="1:18" s="1" customFormat="1">
      <c r="A743" s="282"/>
      <c r="B743" s="21"/>
      <c r="C743" s="21"/>
      <c r="D743" s="141"/>
      <c r="E743" s="108"/>
      <c r="F743" s="22"/>
      <c r="G743" s="219"/>
      <c r="H743" s="165"/>
      <c r="I743" s="21"/>
      <c r="J743" s="21"/>
      <c r="K743" s="182"/>
      <c r="L743" s="21"/>
      <c r="M743" s="21"/>
      <c r="N743" s="21"/>
      <c r="O743" s="21"/>
      <c r="P743" s="21"/>
      <c r="Q743" s="21"/>
      <c r="R743" s="21"/>
    </row>
    <row r="744" spans="1:18" s="1" customFormat="1">
      <c r="A744" s="282"/>
      <c r="B744" s="21"/>
      <c r="C744" s="21"/>
      <c r="D744" s="141"/>
      <c r="E744" s="108"/>
      <c r="F744" s="22"/>
      <c r="G744" s="219"/>
      <c r="H744" s="165"/>
      <c r="I744" s="21"/>
      <c r="J744" s="21"/>
      <c r="K744" s="182"/>
      <c r="L744" s="21"/>
      <c r="M744" s="21"/>
      <c r="N744" s="21"/>
      <c r="O744" s="21"/>
      <c r="P744" s="21"/>
      <c r="Q744" s="21"/>
      <c r="R744" s="21"/>
    </row>
    <row r="745" spans="1:18" s="1" customFormat="1">
      <c r="A745" s="282"/>
      <c r="B745" s="21"/>
      <c r="C745" s="21"/>
      <c r="D745" s="141"/>
      <c r="E745" s="108"/>
      <c r="F745" s="22"/>
      <c r="G745" s="219"/>
      <c r="H745" s="165"/>
      <c r="I745" s="21"/>
      <c r="J745" s="21"/>
      <c r="K745" s="182"/>
      <c r="L745" s="21"/>
      <c r="M745" s="21"/>
      <c r="N745" s="21"/>
      <c r="O745" s="21"/>
      <c r="P745" s="21"/>
      <c r="Q745" s="21"/>
      <c r="R745" s="21"/>
    </row>
    <row r="746" spans="1:18" s="1" customFormat="1">
      <c r="A746" s="282"/>
      <c r="B746" s="21"/>
      <c r="C746" s="21"/>
      <c r="D746" s="141"/>
      <c r="E746" s="108"/>
      <c r="F746" s="22"/>
      <c r="G746" s="219"/>
      <c r="H746" s="165"/>
      <c r="I746" s="21"/>
      <c r="J746" s="21"/>
      <c r="K746" s="182"/>
      <c r="L746" s="21"/>
      <c r="M746" s="21"/>
      <c r="N746" s="21"/>
      <c r="O746" s="21"/>
      <c r="P746" s="21"/>
      <c r="Q746" s="21"/>
      <c r="R746" s="21"/>
    </row>
    <row r="747" spans="1:18" s="1" customFormat="1">
      <c r="A747" s="282"/>
      <c r="B747" s="21"/>
      <c r="C747" s="21"/>
      <c r="D747" s="141"/>
      <c r="E747" s="108"/>
      <c r="F747" s="22"/>
      <c r="G747" s="219"/>
      <c r="H747" s="165"/>
      <c r="I747" s="21"/>
      <c r="J747" s="21"/>
      <c r="K747" s="182"/>
      <c r="L747" s="21"/>
      <c r="M747" s="21"/>
      <c r="N747" s="21"/>
      <c r="O747" s="21"/>
      <c r="P747" s="21"/>
      <c r="Q747" s="21"/>
      <c r="R747" s="21"/>
    </row>
    <row r="748" spans="1:18" s="1" customFormat="1">
      <c r="A748" s="282"/>
      <c r="B748" s="21"/>
      <c r="C748" s="21"/>
      <c r="D748" s="141"/>
      <c r="E748" s="108"/>
      <c r="F748" s="22"/>
      <c r="G748" s="219"/>
      <c r="H748" s="165"/>
      <c r="I748" s="21"/>
      <c r="J748" s="21"/>
      <c r="K748" s="182"/>
      <c r="L748" s="21"/>
      <c r="M748" s="21"/>
      <c r="N748" s="21"/>
      <c r="O748" s="21"/>
      <c r="P748" s="21"/>
      <c r="Q748" s="21"/>
      <c r="R748" s="21"/>
    </row>
    <row r="749" spans="1:18" s="1" customFormat="1">
      <c r="A749" s="282"/>
      <c r="B749" s="21"/>
      <c r="C749" s="21"/>
      <c r="D749" s="141"/>
      <c r="E749" s="108"/>
      <c r="F749" s="22"/>
      <c r="G749" s="219"/>
      <c r="H749" s="165"/>
      <c r="I749" s="21"/>
      <c r="J749" s="21"/>
      <c r="K749" s="182"/>
      <c r="L749" s="21"/>
      <c r="M749" s="21"/>
      <c r="N749" s="21"/>
      <c r="O749" s="21"/>
      <c r="P749" s="21"/>
      <c r="Q749" s="21"/>
      <c r="R749" s="21"/>
    </row>
    <row r="750" spans="1:18" s="1" customFormat="1">
      <c r="A750" s="282"/>
      <c r="B750" s="21"/>
      <c r="C750" s="21"/>
      <c r="D750" s="141"/>
      <c r="E750" s="108"/>
      <c r="F750" s="22"/>
      <c r="G750" s="219"/>
      <c r="H750" s="165"/>
      <c r="I750" s="21"/>
      <c r="J750" s="21"/>
      <c r="K750" s="182"/>
      <c r="L750" s="21"/>
      <c r="M750" s="21"/>
      <c r="N750" s="21"/>
      <c r="O750" s="21"/>
      <c r="P750" s="21"/>
      <c r="Q750" s="21"/>
      <c r="R750" s="21"/>
    </row>
    <row r="751" spans="1:18" s="1" customFormat="1">
      <c r="A751" s="282"/>
      <c r="B751" s="21"/>
      <c r="C751" s="21"/>
      <c r="D751" s="141"/>
      <c r="E751" s="108"/>
      <c r="F751" s="22"/>
      <c r="G751" s="219"/>
      <c r="H751" s="165"/>
      <c r="I751" s="21"/>
      <c r="J751" s="21"/>
      <c r="K751" s="182"/>
      <c r="L751" s="21"/>
      <c r="M751" s="21"/>
      <c r="N751" s="21"/>
      <c r="O751" s="21"/>
      <c r="P751" s="21"/>
      <c r="Q751" s="21"/>
      <c r="R751" s="21"/>
    </row>
    <row r="752" spans="1:18" s="1" customFormat="1">
      <c r="A752" s="282"/>
      <c r="B752" s="21"/>
      <c r="C752" s="21"/>
      <c r="D752" s="141"/>
      <c r="E752" s="108"/>
      <c r="F752" s="22"/>
      <c r="G752" s="219"/>
      <c r="H752" s="165"/>
      <c r="I752" s="21"/>
      <c r="J752" s="21"/>
      <c r="K752" s="182"/>
      <c r="L752" s="21"/>
      <c r="M752" s="21"/>
      <c r="N752" s="21"/>
      <c r="O752" s="21"/>
      <c r="P752" s="21"/>
      <c r="Q752" s="21"/>
      <c r="R752" s="21"/>
    </row>
    <row r="753" spans="1:18" s="1" customFormat="1">
      <c r="A753" s="282"/>
      <c r="B753" s="21"/>
      <c r="C753" s="21"/>
      <c r="D753" s="141"/>
      <c r="E753" s="108"/>
      <c r="F753" s="22"/>
      <c r="G753" s="219"/>
      <c r="H753" s="165"/>
      <c r="I753" s="21"/>
      <c r="J753" s="21"/>
      <c r="K753" s="182"/>
      <c r="L753" s="21"/>
      <c r="M753" s="21"/>
      <c r="N753" s="21"/>
      <c r="O753" s="21"/>
      <c r="P753" s="21"/>
      <c r="Q753" s="21"/>
      <c r="R753" s="21"/>
    </row>
    <row r="754" spans="1:18" s="1" customFormat="1">
      <c r="A754" s="282"/>
      <c r="B754" s="21"/>
      <c r="C754" s="21"/>
      <c r="D754" s="141"/>
      <c r="E754" s="108"/>
      <c r="F754" s="22"/>
      <c r="G754" s="219"/>
      <c r="H754" s="165"/>
      <c r="I754" s="21"/>
      <c r="J754" s="21"/>
      <c r="K754" s="182"/>
      <c r="L754" s="21"/>
      <c r="M754" s="21"/>
      <c r="N754" s="21"/>
      <c r="O754" s="21"/>
      <c r="P754" s="21"/>
      <c r="Q754" s="21"/>
      <c r="R754" s="21"/>
    </row>
    <row r="755" spans="1:18" s="1" customFormat="1">
      <c r="A755" s="282"/>
      <c r="B755" s="21"/>
      <c r="C755" s="21"/>
      <c r="D755" s="141"/>
      <c r="E755" s="108"/>
      <c r="F755" s="22"/>
      <c r="G755" s="219"/>
      <c r="H755" s="165"/>
      <c r="I755" s="21"/>
      <c r="J755" s="21"/>
      <c r="K755" s="182"/>
      <c r="L755" s="21"/>
      <c r="M755" s="21"/>
      <c r="N755" s="21"/>
      <c r="O755" s="21"/>
      <c r="P755" s="21"/>
      <c r="Q755" s="21"/>
      <c r="R755" s="21"/>
    </row>
    <row r="756" spans="1:18" s="1" customFormat="1">
      <c r="A756" s="282"/>
      <c r="B756" s="21"/>
      <c r="C756" s="21"/>
      <c r="D756" s="141"/>
      <c r="E756" s="108"/>
      <c r="F756" s="22"/>
      <c r="G756" s="219"/>
      <c r="H756" s="165"/>
      <c r="I756" s="21"/>
      <c r="J756" s="21"/>
      <c r="K756" s="182"/>
      <c r="L756" s="21"/>
      <c r="M756" s="21"/>
      <c r="N756" s="21"/>
      <c r="O756" s="21"/>
      <c r="P756" s="21"/>
      <c r="Q756" s="21"/>
      <c r="R756" s="21"/>
    </row>
    <row r="757" spans="1:18" s="1" customFormat="1">
      <c r="A757" s="282"/>
      <c r="B757" s="21"/>
      <c r="C757" s="21"/>
      <c r="D757" s="141"/>
      <c r="E757" s="108"/>
      <c r="F757" s="22"/>
      <c r="G757" s="219"/>
      <c r="H757" s="165"/>
      <c r="I757" s="21"/>
      <c r="J757" s="21"/>
      <c r="K757" s="182"/>
      <c r="L757" s="21"/>
      <c r="M757" s="21"/>
      <c r="N757" s="21"/>
      <c r="O757" s="21"/>
      <c r="P757" s="21"/>
      <c r="Q757" s="21"/>
      <c r="R757" s="21"/>
    </row>
    <row r="758" spans="1:18" s="1" customFormat="1">
      <c r="A758" s="282"/>
      <c r="B758" s="21"/>
      <c r="C758" s="21"/>
      <c r="D758" s="141"/>
      <c r="E758" s="108"/>
      <c r="F758" s="22"/>
      <c r="G758" s="219"/>
      <c r="H758" s="165"/>
      <c r="I758" s="21"/>
      <c r="J758" s="21"/>
      <c r="K758" s="182"/>
      <c r="L758" s="21"/>
      <c r="M758" s="21"/>
      <c r="N758" s="21"/>
      <c r="O758" s="21"/>
      <c r="P758" s="21"/>
      <c r="Q758" s="21"/>
      <c r="R758" s="21"/>
    </row>
    <row r="759" spans="1:18" s="1" customFormat="1">
      <c r="A759" s="282"/>
      <c r="B759" s="21"/>
      <c r="C759" s="21"/>
      <c r="D759" s="141"/>
      <c r="E759" s="108"/>
      <c r="F759" s="22"/>
      <c r="G759" s="219"/>
      <c r="H759" s="165"/>
      <c r="I759" s="21"/>
      <c r="J759" s="21"/>
      <c r="K759" s="182"/>
      <c r="L759" s="21"/>
      <c r="M759" s="21"/>
      <c r="N759" s="21"/>
      <c r="O759" s="21"/>
      <c r="P759" s="21"/>
      <c r="Q759" s="21"/>
      <c r="R759" s="21"/>
    </row>
    <row r="760" spans="1:18" s="1" customFormat="1">
      <c r="A760" s="282"/>
      <c r="B760" s="21"/>
      <c r="C760" s="21"/>
      <c r="D760" s="141"/>
      <c r="E760" s="108"/>
      <c r="F760" s="22"/>
      <c r="G760" s="219"/>
      <c r="H760" s="165"/>
      <c r="I760" s="21"/>
      <c r="J760" s="21"/>
      <c r="K760" s="182"/>
      <c r="L760" s="21"/>
      <c r="M760" s="21"/>
      <c r="N760" s="21"/>
      <c r="O760" s="21"/>
      <c r="P760" s="21"/>
      <c r="Q760" s="21"/>
      <c r="R760" s="21"/>
    </row>
    <row r="761" spans="1:18" s="1" customFormat="1">
      <c r="A761" s="282"/>
      <c r="B761" s="21"/>
      <c r="C761" s="21"/>
      <c r="D761" s="141"/>
      <c r="E761" s="108"/>
      <c r="F761" s="22"/>
      <c r="G761" s="219"/>
      <c r="H761" s="165"/>
      <c r="I761" s="21"/>
      <c r="J761" s="21"/>
      <c r="K761" s="182"/>
      <c r="L761" s="21"/>
      <c r="M761" s="21"/>
      <c r="N761" s="21"/>
      <c r="O761" s="21"/>
      <c r="P761" s="21"/>
      <c r="Q761" s="21"/>
      <c r="R761" s="21"/>
    </row>
    <row r="762" spans="1:18" s="1" customFormat="1">
      <c r="A762" s="282"/>
      <c r="B762" s="21"/>
      <c r="C762" s="21"/>
      <c r="D762" s="141"/>
      <c r="E762" s="108"/>
      <c r="F762" s="22"/>
      <c r="G762" s="219"/>
      <c r="H762" s="165"/>
      <c r="I762" s="21"/>
      <c r="J762" s="21"/>
      <c r="K762" s="182"/>
      <c r="L762" s="21"/>
      <c r="M762" s="21"/>
      <c r="N762" s="21"/>
      <c r="O762" s="21"/>
      <c r="P762" s="21"/>
      <c r="Q762" s="21"/>
      <c r="R762" s="21"/>
    </row>
    <row r="763" spans="1:18" s="1" customFormat="1">
      <c r="A763" s="282"/>
      <c r="B763" s="21"/>
      <c r="C763" s="21"/>
      <c r="D763" s="141"/>
      <c r="E763" s="108"/>
      <c r="F763" s="22"/>
      <c r="G763" s="219"/>
      <c r="H763" s="165"/>
      <c r="I763" s="21"/>
      <c r="J763" s="21"/>
      <c r="K763" s="182"/>
      <c r="L763" s="21"/>
      <c r="M763" s="21"/>
      <c r="N763" s="21"/>
      <c r="O763" s="21"/>
      <c r="P763" s="21"/>
      <c r="Q763" s="21"/>
      <c r="R763" s="21"/>
    </row>
    <row r="764" spans="1:18" s="1" customFormat="1">
      <c r="A764" s="282"/>
      <c r="B764" s="21"/>
      <c r="C764" s="21"/>
      <c r="D764" s="141"/>
      <c r="E764" s="108"/>
      <c r="F764" s="22"/>
      <c r="G764" s="219"/>
      <c r="H764" s="165"/>
      <c r="I764" s="21"/>
      <c r="J764" s="21"/>
      <c r="K764" s="182"/>
      <c r="L764" s="21"/>
      <c r="M764" s="21"/>
      <c r="N764" s="21"/>
      <c r="O764" s="21"/>
      <c r="P764" s="21"/>
      <c r="Q764" s="21"/>
      <c r="R764" s="21"/>
    </row>
    <row r="765" spans="1:18" s="1" customFormat="1">
      <c r="A765" s="282"/>
      <c r="B765" s="21"/>
      <c r="C765" s="21"/>
      <c r="D765" s="141"/>
      <c r="E765" s="108"/>
      <c r="F765" s="22"/>
      <c r="G765" s="219"/>
      <c r="H765" s="165"/>
      <c r="I765" s="21"/>
      <c r="J765" s="21"/>
      <c r="K765" s="182"/>
      <c r="L765" s="21"/>
      <c r="M765" s="21"/>
      <c r="N765" s="21"/>
      <c r="O765" s="21"/>
      <c r="P765" s="21"/>
      <c r="Q765" s="21"/>
      <c r="R765" s="21"/>
    </row>
    <row r="766" spans="1:18" s="1" customFormat="1">
      <c r="A766" s="282"/>
      <c r="B766" s="21"/>
      <c r="C766" s="21"/>
      <c r="D766" s="141"/>
      <c r="E766" s="108"/>
      <c r="F766" s="22"/>
      <c r="G766" s="219"/>
      <c r="H766" s="165"/>
      <c r="I766" s="21"/>
      <c r="J766" s="21"/>
      <c r="K766" s="182"/>
      <c r="L766" s="21"/>
      <c r="M766" s="21"/>
      <c r="N766" s="21"/>
      <c r="O766" s="21"/>
      <c r="P766" s="21"/>
      <c r="Q766" s="21"/>
      <c r="R766" s="21"/>
    </row>
    <row r="767" spans="1:18" s="1" customFormat="1">
      <c r="A767" s="282"/>
      <c r="B767" s="21"/>
      <c r="C767" s="21"/>
      <c r="D767" s="141"/>
      <c r="E767" s="108"/>
      <c r="F767" s="22"/>
      <c r="G767" s="219"/>
      <c r="H767" s="165"/>
      <c r="I767" s="21"/>
      <c r="J767" s="21"/>
      <c r="K767" s="182"/>
      <c r="L767" s="21"/>
      <c r="M767" s="21"/>
      <c r="N767" s="21"/>
      <c r="O767" s="21"/>
      <c r="P767" s="21"/>
      <c r="Q767" s="21"/>
      <c r="R767" s="21"/>
    </row>
    <row r="768" spans="1:18" s="1" customFormat="1">
      <c r="A768" s="282"/>
      <c r="B768" s="21"/>
      <c r="C768" s="21"/>
      <c r="D768" s="141"/>
      <c r="E768" s="108"/>
      <c r="F768" s="22"/>
      <c r="G768" s="219"/>
      <c r="H768" s="165"/>
      <c r="I768" s="21"/>
      <c r="J768" s="21"/>
      <c r="K768" s="182"/>
      <c r="L768" s="21"/>
      <c r="M768" s="21"/>
      <c r="N768" s="21"/>
      <c r="O768" s="21"/>
      <c r="P768" s="21"/>
      <c r="Q768" s="21"/>
      <c r="R768" s="21"/>
    </row>
    <row r="769" spans="1:18" s="1" customFormat="1">
      <c r="A769" s="282"/>
      <c r="B769" s="21"/>
      <c r="C769" s="21"/>
      <c r="D769" s="141"/>
      <c r="E769" s="108"/>
      <c r="F769" s="22"/>
      <c r="G769" s="219"/>
      <c r="H769" s="165"/>
      <c r="I769" s="21"/>
      <c r="J769" s="21"/>
      <c r="K769" s="182"/>
      <c r="L769" s="21"/>
      <c r="M769" s="21"/>
      <c r="N769" s="21"/>
      <c r="O769" s="21"/>
      <c r="P769" s="21"/>
      <c r="Q769" s="21"/>
      <c r="R769" s="21"/>
    </row>
    <row r="770" spans="1:18" s="1" customFormat="1">
      <c r="A770" s="282"/>
      <c r="B770" s="21"/>
      <c r="C770" s="21"/>
      <c r="D770" s="141"/>
      <c r="E770" s="108"/>
      <c r="F770" s="22"/>
      <c r="G770" s="219"/>
      <c r="H770" s="165"/>
      <c r="I770" s="21"/>
      <c r="J770" s="21"/>
      <c r="K770" s="182"/>
      <c r="L770" s="21"/>
      <c r="M770" s="21"/>
      <c r="N770" s="21"/>
      <c r="O770" s="21"/>
      <c r="P770" s="21"/>
      <c r="Q770" s="21"/>
      <c r="R770" s="21"/>
    </row>
    <row r="771" spans="1:18" s="1" customFormat="1">
      <c r="A771" s="282"/>
      <c r="B771" s="21"/>
      <c r="C771" s="21"/>
      <c r="D771" s="141"/>
      <c r="E771" s="108"/>
      <c r="F771" s="22"/>
      <c r="G771" s="219"/>
      <c r="H771" s="165"/>
      <c r="I771" s="21"/>
      <c r="J771" s="21"/>
      <c r="K771" s="182"/>
      <c r="L771" s="21"/>
      <c r="M771" s="21"/>
      <c r="N771" s="21"/>
      <c r="O771" s="21"/>
      <c r="P771" s="21"/>
      <c r="Q771" s="21"/>
      <c r="R771" s="21"/>
    </row>
    <row r="772" spans="1:18" s="1" customFormat="1">
      <c r="A772" s="282"/>
      <c r="B772" s="21"/>
      <c r="C772" s="21"/>
      <c r="D772" s="141"/>
      <c r="E772" s="108"/>
      <c r="F772" s="22"/>
      <c r="G772" s="219"/>
      <c r="H772" s="165"/>
      <c r="I772" s="21"/>
      <c r="J772" s="21"/>
      <c r="K772" s="182"/>
      <c r="L772" s="21"/>
      <c r="M772" s="21"/>
      <c r="N772" s="21"/>
      <c r="O772" s="21"/>
      <c r="P772" s="21"/>
      <c r="Q772" s="21"/>
      <c r="R772" s="21"/>
    </row>
    <row r="773" spans="1:18" s="1" customFormat="1">
      <c r="A773" s="282"/>
      <c r="B773" s="21"/>
      <c r="C773" s="21"/>
      <c r="D773" s="141"/>
      <c r="E773" s="108"/>
      <c r="F773" s="22"/>
      <c r="G773" s="219"/>
      <c r="H773" s="165"/>
      <c r="I773" s="21"/>
      <c r="J773" s="21"/>
      <c r="K773" s="182"/>
      <c r="L773" s="21"/>
      <c r="M773" s="21"/>
      <c r="N773" s="21"/>
      <c r="O773" s="21"/>
      <c r="P773" s="21"/>
      <c r="Q773" s="21"/>
      <c r="R773" s="21"/>
    </row>
    <row r="774" spans="1:18" s="1" customFormat="1">
      <c r="A774" s="282"/>
      <c r="B774" s="21"/>
      <c r="C774" s="21"/>
      <c r="D774" s="141"/>
      <c r="E774" s="108"/>
      <c r="F774" s="22"/>
      <c r="G774" s="219"/>
      <c r="H774" s="165"/>
      <c r="I774" s="21"/>
      <c r="J774" s="21"/>
      <c r="K774" s="182"/>
      <c r="L774" s="21"/>
      <c r="M774" s="21"/>
      <c r="N774" s="21"/>
      <c r="O774" s="21"/>
      <c r="P774" s="21"/>
      <c r="Q774" s="21"/>
      <c r="R774" s="21"/>
    </row>
    <row r="775" spans="1:18" s="1" customFormat="1">
      <c r="A775" s="282"/>
      <c r="B775" s="21"/>
      <c r="C775" s="21"/>
      <c r="D775" s="141"/>
      <c r="E775" s="108"/>
      <c r="F775" s="22"/>
      <c r="G775" s="219"/>
      <c r="H775" s="165"/>
      <c r="I775" s="21"/>
      <c r="J775" s="21"/>
      <c r="K775" s="182"/>
      <c r="L775" s="21"/>
      <c r="M775" s="21"/>
      <c r="N775" s="21"/>
      <c r="O775" s="21"/>
      <c r="P775" s="21"/>
      <c r="Q775" s="21"/>
      <c r="R775" s="21"/>
    </row>
    <row r="776" spans="1:18" s="1" customFormat="1">
      <c r="A776" s="282"/>
      <c r="B776" s="21"/>
      <c r="C776" s="21"/>
      <c r="D776" s="141"/>
      <c r="E776" s="108"/>
      <c r="F776" s="22"/>
      <c r="G776" s="219"/>
      <c r="H776" s="165"/>
      <c r="I776" s="21"/>
      <c r="J776" s="21"/>
      <c r="K776" s="182"/>
      <c r="L776" s="21"/>
      <c r="M776" s="21"/>
      <c r="N776" s="21"/>
      <c r="O776" s="21"/>
      <c r="P776" s="21"/>
      <c r="Q776" s="21"/>
      <c r="R776" s="21"/>
    </row>
    <row r="777" spans="1:18" s="1" customFormat="1">
      <c r="A777" s="282"/>
      <c r="B777" s="21"/>
      <c r="C777" s="21"/>
      <c r="D777" s="141"/>
      <c r="E777" s="108"/>
      <c r="F777" s="22"/>
      <c r="G777" s="219"/>
      <c r="H777" s="165"/>
      <c r="I777" s="21"/>
      <c r="J777" s="21"/>
      <c r="K777" s="182"/>
      <c r="L777" s="21"/>
      <c r="M777" s="21"/>
      <c r="N777" s="21"/>
      <c r="O777" s="21"/>
      <c r="P777" s="21"/>
      <c r="Q777" s="21"/>
      <c r="R777" s="21"/>
    </row>
    <row r="778" spans="1:18" s="1" customFormat="1">
      <c r="A778" s="282"/>
      <c r="B778" s="21"/>
      <c r="C778" s="21"/>
      <c r="D778" s="141"/>
      <c r="E778" s="108"/>
      <c r="F778" s="22"/>
      <c r="G778" s="219"/>
      <c r="H778" s="165"/>
      <c r="I778" s="21"/>
      <c r="J778" s="21"/>
      <c r="K778" s="182"/>
      <c r="L778" s="21"/>
      <c r="M778" s="21"/>
      <c r="N778" s="21"/>
      <c r="O778" s="21"/>
      <c r="P778" s="21"/>
      <c r="Q778" s="21"/>
      <c r="R778" s="21"/>
    </row>
    <row r="779" spans="1:18" s="1" customFormat="1">
      <c r="A779" s="282"/>
      <c r="B779" s="21"/>
      <c r="C779" s="21"/>
      <c r="D779" s="141"/>
      <c r="E779" s="108"/>
      <c r="F779" s="22"/>
      <c r="G779" s="219"/>
      <c r="H779" s="165"/>
      <c r="I779" s="21"/>
      <c r="J779" s="21"/>
      <c r="K779" s="182"/>
      <c r="L779" s="21"/>
      <c r="M779" s="21"/>
      <c r="N779" s="21"/>
      <c r="O779" s="21"/>
      <c r="P779" s="21"/>
      <c r="Q779" s="21"/>
      <c r="R779" s="21"/>
    </row>
    <row r="780" spans="1:18" s="1" customFormat="1">
      <c r="A780" s="282"/>
      <c r="B780" s="21"/>
      <c r="C780" s="21"/>
      <c r="D780" s="141"/>
      <c r="E780" s="108"/>
      <c r="F780" s="22"/>
      <c r="G780" s="219"/>
      <c r="H780" s="165"/>
      <c r="I780" s="21"/>
      <c r="J780" s="21"/>
      <c r="K780" s="182"/>
      <c r="L780" s="21"/>
      <c r="M780" s="21"/>
      <c r="N780" s="21"/>
      <c r="O780" s="21"/>
      <c r="P780" s="21"/>
      <c r="Q780" s="21"/>
      <c r="R780" s="21"/>
    </row>
    <row r="781" spans="1:18" s="1" customFormat="1">
      <c r="A781" s="282"/>
      <c r="B781" s="21"/>
      <c r="C781" s="21"/>
      <c r="D781" s="141"/>
      <c r="E781" s="108"/>
      <c r="F781" s="22"/>
      <c r="G781" s="219"/>
      <c r="H781" s="165"/>
      <c r="I781" s="21"/>
      <c r="J781" s="21"/>
      <c r="K781" s="182"/>
      <c r="L781" s="21"/>
      <c r="M781" s="21"/>
      <c r="N781" s="21"/>
      <c r="O781" s="21"/>
      <c r="P781" s="21"/>
      <c r="Q781" s="21"/>
      <c r="R781" s="21"/>
    </row>
    <row r="782" spans="1:18" s="1" customFormat="1">
      <c r="A782" s="282"/>
      <c r="B782" s="21"/>
      <c r="C782" s="21"/>
      <c r="D782" s="141"/>
      <c r="E782" s="108"/>
      <c r="F782" s="22"/>
      <c r="G782" s="219"/>
      <c r="H782" s="165"/>
      <c r="I782" s="21"/>
      <c r="J782" s="21"/>
      <c r="K782" s="182"/>
      <c r="L782" s="21"/>
      <c r="M782" s="21"/>
      <c r="N782" s="21"/>
      <c r="O782" s="21"/>
      <c r="P782" s="21"/>
      <c r="Q782" s="21"/>
      <c r="R782" s="21"/>
    </row>
    <row r="783" spans="1:18" s="1" customFormat="1">
      <c r="A783" s="282"/>
      <c r="B783" s="21"/>
      <c r="C783" s="21"/>
      <c r="D783" s="141"/>
      <c r="E783" s="108"/>
      <c r="F783" s="22"/>
      <c r="G783" s="219"/>
      <c r="H783" s="165"/>
      <c r="I783" s="21"/>
      <c r="J783" s="21"/>
      <c r="K783" s="182"/>
      <c r="L783" s="21"/>
      <c r="M783" s="21"/>
      <c r="N783" s="21"/>
      <c r="O783" s="21"/>
      <c r="P783" s="21"/>
      <c r="Q783" s="21"/>
      <c r="R783" s="21"/>
    </row>
    <row r="784" spans="1:18" s="1" customFormat="1">
      <c r="A784" s="282"/>
      <c r="B784" s="21"/>
      <c r="C784" s="21"/>
      <c r="D784" s="141"/>
      <c r="E784" s="108"/>
      <c r="F784" s="22"/>
      <c r="G784" s="219"/>
      <c r="H784" s="165"/>
      <c r="I784" s="21"/>
      <c r="J784" s="21"/>
      <c r="K784" s="182"/>
      <c r="L784" s="21"/>
      <c r="M784" s="21"/>
      <c r="N784" s="21"/>
      <c r="O784" s="21"/>
      <c r="P784" s="21"/>
      <c r="Q784" s="21"/>
      <c r="R784" s="21"/>
    </row>
    <row r="785" spans="1:18" s="1" customFormat="1">
      <c r="A785" s="282"/>
      <c r="B785" s="21"/>
      <c r="C785" s="21"/>
      <c r="D785" s="141"/>
      <c r="E785" s="108"/>
      <c r="F785" s="22"/>
      <c r="G785" s="219"/>
      <c r="H785" s="165"/>
      <c r="I785" s="21"/>
      <c r="J785" s="21"/>
      <c r="K785" s="182"/>
      <c r="L785" s="21"/>
      <c r="M785" s="21"/>
      <c r="N785" s="21"/>
      <c r="O785" s="21"/>
      <c r="P785" s="21"/>
      <c r="Q785" s="21"/>
      <c r="R785" s="21"/>
    </row>
    <row r="786" spans="1:18" s="1" customFormat="1">
      <c r="A786" s="282"/>
      <c r="B786" s="21"/>
      <c r="C786" s="21"/>
      <c r="D786" s="141"/>
      <c r="E786" s="108"/>
      <c r="F786" s="22"/>
      <c r="G786" s="219"/>
      <c r="H786" s="165"/>
      <c r="I786" s="21"/>
      <c r="J786" s="21"/>
      <c r="K786" s="182"/>
      <c r="L786" s="21"/>
      <c r="M786" s="21"/>
      <c r="N786" s="21"/>
      <c r="O786" s="21"/>
      <c r="P786" s="21"/>
      <c r="Q786" s="21"/>
      <c r="R786" s="21"/>
    </row>
    <row r="787" spans="1:18" s="1" customFormat="1">
      <c r="A787" s="282"/>
      <c r="B787" s="21"/>
      <c r="C787" s="21"/>
      <c r="D787" s="141"/>
      <c r="E787" s="108"/>
      <c r="F787" s="22"/>
      <c r="G787" s="219"/>
      <c r="H787" s="165"/>
      <c r="I787" s="21"/>
      <c r="J787" s="21"/>
      <c r="K787" s="182"/>
      <c r="L787" s="21"/>
      <c r="M787" s="21"/>
      <c r="N787" s="21"/>
      <c r="O787" s="21"/>
      <c r="P787" s="21"/>
      <c r="Q787" s="21"/>
      <c r="R787" s="21"/>
    </row>
    <row r="788" spans="1:18" s="1" customFormat="1">
      <c r="A788" s="282"/>
      <c r="B788" s="21"/>
      <c r="C788" s="21"/>
      <c r="D788" s="141"/>
      <c r="E788" s="108"/>
      <c r="F788" s="22"/>
      <c r="G788" s="219"/>
      <c r="H788" s="165"/>
      <c r="I788" s="21"/>
      <c r="J788" s="21"/>
      <c r="K788" s="182"/>
      <c r="L788" s="21"/>
      <c r="M788" s="21"/>
      <c r="N788" s="21"/>
      <c r="O788" s="21"/>
      <c r="P788" s="21"/>
      <c r="Q788" s="21"/>
      <c r="R788" s="21"/>
    </row>
    <row r="789" spans="1:18" s="1" customFormat="1">
      <c r="A789" s="282"/>
      <c r="B789" s="21"/>
      <c r="C789" s="21"/>
      <c r="D789" s="141"/>
      <c r="E789" s="108"/>
      <c r="F789" s="22"/>
      <c r="G789" s="219"/>
      <c r="H789" s="165"/>
      <c r="I789" s="21"/>
      <c r="J789" s="21"/>
      <c r="K789" s="182"/>
      <c r="L789" s="21"/>
      <c r="M789" s="21"/>
      <c r="N789" s="21"/>
      <c r="O789" s="21"/>
      <c r="P789" s="21"/>
      <c r="Q789" s="21"/>
      <c r="R789" s="21"/>
    </row>
    <row r="790" spans="1:18" s="1" customFormat="1">
      <c r="A790" s="282"/>
      <c r="B790" s="21"/>
      <c r="C790" s="21"/>
      <c r="D790" s="141"/>
      <c r="E790" s="108"/>
      <c r="F790" s="22"/>
      <c r="G790" s="219"/>
      <c r="H790" s="165"/>
      <c r="I790" s="21"/>
      <c r="J790" s="21"/>
      <c r="K790" s="182"/>
      <c r="L790" s="21"/>
      <c r="M790" s="21"/>
      <c r="N790" s="21"/>
      <c r="O790" s="21"/>
      <c r="P790" s="21"/>
      <c r="Q790" s="21"/>
      <c r="R790" s="21"/>
    </row>
    <row r="791" spans="1:18" s="1" customFormat="1">
      <c r="A791" s="282"/>
      <c r="B791" s="21"/>
      <c r="C791" s="21"/>
      <c r="D791" s="141"/>
      <c r="E791" s="108"/>
      <c r="F791" s="22"/>
      <c r="G791" s="219"/>
      <c r="H791" s="165"/>
      <c r="I791" s="21"/>
      <c r="J791" s="21"/>
      <c r="K791" s="182"/>
      <c r="L791" s="21"/>
      <c r="M791" s="21"/>
      <c r="N791" s="21"/>
      <c r="O791" s="21"/>
      <c r="P791" s="21"/>
      <c r="Q791" s="21"/>
      <c r="R791" s="21"/>
    </row>
    <row r="792" spans="1:18" s="1" customFormat="1">
      <c r="A792" s="282"/>
      <c r="B792" s="21"/>
      <c r="C792" s="21"/>
      <c r="D792" s="141"/>
      <c r="E792" s="108"/>
      <c r="F792" s="22"/>
      <c r="G792" s="219"/>
      <c r="H792" s="165"/>
      <c r="I792" s="21"/>
      <c r="J792" s="21"/>
      <c r="K792" s="182"/>
      <c r="L792" s="21"/>
      <c r="M792" s="21"/>
      <c r="N792" s="21"/>
      <c r="O792" s="21"/>
      <c r="P792" s="21"/>
      <c r="Q792" s="21"/>
      <c r="R792" s="21"/>
    </row>
    <row r="793" spans="1:18" s="1" customFormat="1">
      <c r="A793" s="282"/>
      <c r="B793" s="21"/>
      <c r="C793" s="21"/>
      <c r="D793" s="141"/>
      <c r="E793" s="108"/>
      <c r="F793" s="22"/>
      <c r="G793" s="219"/>
      <c r="H793" s="165"/>
      <c r="I793" s="21"/>
      <c r="J793" s="21"/>
      <c r="K793" s="182"/>
      <c r="L793" s="21"/>
      <c r="M793" s="21"/>
      <c r="N793" s="21"/>
      <c r="O793" s="21"/>
      <c r="P793" s="21"/>
      <c r="Q793" s="21"/>
      <c r="R793" s="21"/>
    </row>
    <row r="794" spans="1:18" s="1" customFormat="1">
      <c r="A794" s="282"/>
      <c r="B794" s="21"/>
      <c r="C794" s="21"/>
      <c r="D794" s="141"/>
      <c r="E794" s="108"/>
      <c r="F794" s="22"/>
      <c r="G794" s="219"/>
      <c r="H794" s="165"/>
      <c r="I794" s="21"/>
      <c r="J794" s="21"/>
      <c r="K794" s="182"/>
      <c r="L794" s="21"/>
      <c r="M794" s="21"/>
      <c r="N794" s="21"/>
      <c r="O794" s="21"/>
      <c r="P794" s="21"/>
      <c r="Q794" s="21"/>
      <c r="R794" s="21"/>
    </row>
    <row r="795" spans="1:18" s="1" customFormat="1">
      <c r="A795" s="282"/>
      <c r="B795" s="21"/>
      <c r="C795" s="21"/>
      <c r="D795" s="141"/>
      <c r="E795" s="108"/>
      <c r="F795" s="22"/>
      <c r="G795" s="219"/>
      <c r="H795" s="165"/>
      <c r="I795" s="21"/>
      <c r="J795" s="21"/>
      <c r="K795" s="182"/>
      <c r="L795" s="21"/>
      <c r="M795" s="21"/>
      <c r="N795" s="21"/>
      <c r="O795" s="21"/>
      <c r="P795" s="21"/>
      <c r="Q795" s="21"/>
      <c r="R795" s="21"/>
    </row>
    <row r="796" spans="1:18" s="1" customFormat="1">
      <c r="A796" s="282"/>
      <c r="B796" s="21"/>
      <c r="C796" s="21"/>
      <c r="D796" s="141"/>
      <c r="E796" s="108"/>
      <c r="F796" s="22"/>
      <c r="G796" s="219"/>
      <c r="H796" s="165"/>
      <c r="I796" s="21"/>
      <c r="J796" s="21"/>
      <c r="K796" s="182"/>
      <c r="L796" s="21"/>
      <c r="M796" s="21"/>
      <c r="N796" s="21"/>
      <c r="O796" s="21"/>
      <c r="P796" s="21"/>
      <c r="Q796" s="21"/>
      <c r="R796" s="21"/>
    </row>
    <row r="797" spans="1:18" s="1" customFormat="1">
      <c r="A797" s="282"/>
      <c r="B797" s="21"/>
      <c r="C797" s="21"/>
      <c r="D797" s="141"/>
      <c r="E797" s="108"/>
      <c r="F797" s="22"/>
      <c r="G797" s="219"/>
      <c r="H797" s="165"/>
      <c r="I797" s="21"/>
      <c r="J797" s="21"/>
      <c r="K797" s="182"/>
      <c r="L797" s="21"/>
      <c r="M797" s="21"/>
      <c r="N797" s="21"/>
      <c r="O797" s="21"/>
      <c r="P797" s="21"/>
      <c r="Q797" s="21"/>
      <c r="R797" s="21"/>
    </row>
    <row r="798" spans="1:18" s="1" customFormat="1">
      <c r="A798" s="282"/>
      <c r="B798" s="21"/>
      <c r="C798" s="21"/>
      <c r="D798" s="141"/>
      <c r="E798" s="108"/>
      <c r="F798" s="22"/>
      <c r="G798" s="219"/>
      <c r="H798" s="165"/>
      <c r="I798" s="21"/>
      <c r="J798" s="21"/>
      <c r="K798" s="182"/>
      <c r="L798" s="21"/>
      <c r="M798" s="21"/>
      <c r="N798" s="21"/>
      <c r="O798" s="21"/>
      <c r="P798" s="21"/>
      <c r="Q798" s="21"/>
      <c r="R798" s="21"/>
    </row>
    <row r="799" spans="1:18" s="1" customFormat="1">
      <c r="A799" s="282"/>
      <c r="B799" s="21"/>
      <c r="C799" s="21"/>
      <c r="D799" s="141"/>
      <c r="E799" s="108"/>
      <c r="F799" s="22"/>
      <c r="G799" s="219"/>
      <c r="H799" s="165"/>
      <c r="I799" s="21"/>
      <c r="J799" s="21"/>
      <c r="K799" s="182"/>
      <c r="L799" s="21"/>
      <c r="M799" s="21"/>
      <c r="N799" s="21"/>
      <c r="O799" s="21"/>
      <c r="P799" s="21"/>
      <c r="Q799" s="21"/>
      <c r="R799" s="21"/>
    </row>
    <row r="800" spans="1:18" s="1" customFormat="1">
      <c r="A800" s="282"/>
      <c r="B800" s="21"/>
      <c r="C800" s="21"/>
      <c r="D800" s="141"/>
      <c r="E800" s="108"/>
      <c r="F800" s="22"/>
      <c r="G800" s="219"/>
      <c r="H800" s="165"/>
      <c r="I800" s="21"/>
      <c r="J800" s="21"/>
      <c r="K800" s="182"/>
      <c r="L800" s="21"/>
      <c r="M800" s="21"/>
      <c r="N800" s="21"/>
      <c r="O800" s="21"/>
      <c r="P800" s="21"/>
      <c r="Q800" s="21"/>
      <c r="R800" s="21"/>
    </row>
    <row r="801" spans="1:18" s="1" customFormat="1">
      <c r="A801" s="282"/>
      <c r="B801" s="21"/>
      <c r="C801" s="21"/>
      <c r="D801" s="141"/>
      <c r="E801" s="108"/>
      <c r="F801" s="22"/>
      <c r="G801" s="219"/>
      <c r="H801" s="165"/>
      <c r="I801" s="21"/>
      <c r="J801" s="21"/>
      <c r="K801" s="182"/>
      <c r="L801" s="21"/>
      <c r="M801" s="21"/>
      <c r="N801" s="21"/>
      <c r="O801" s="21"/>
      <c r="P801" s="21"/>
      <c r="Q801" s="21"/>
      <c r="R801" s="21"/>
    </row>
    <row r="802" spans="1:18" s="1" customFormat="1">
      <c r="A802" s="282"/>
      <c r="B802" s="21"/>
      <c r="C802" s="21"/>
      <c r="D802" s="141"/>
      <c r="E802" s="108"/>
      <c r="F802" s="22"/>
      <c r="G802" s="219"/>
      <c r="H802" s="165"/>
      <c r="I802" s="21"/>
      <c r="J802" s="21"/>
      <c r="K802" s="182"/>
      <c r="L802" s="21"/>
      <c r="M802" s="21"/>
      <c r="N802" s="21"/>
      <c r="O802" s="21"/>
      <c r="P802" s="21"/>
      <c r="Q802" s="21"/>
      <c r="R802" s="21"/>
    </row>
    <row r="803" spans="1:18" s="1" customFormat="1">
      <c r="A803" s="282"/>
      <c r="B803" s="21"/>
      <c r="C803" s="21"/>
      <c r="D803" s="141"/>
      <c r="E803" s="108"/>
      <c r="F803" s="22"/>
      <c r="G803" s="219"/>
      <c r="H803" s="165"/>
      <c r="I803" s="21"/>
      <c r="J803" s="21"/>
      <c r="K803" s="182"/>
      <c r="L803" s="21"/>
      <c r="M803" s="21"/>
      <c r="N803" s="21"/>
      <c r="O803" s="21"/>
      <c r="P803" s="21"/>
      <c r="Q803" s="21"/>
      <c r="R803" s="21"/>
    </row>
    <row r="804" spans="1:18" s="1" customFormat="1">
      <c r="A804" s="282"/>
      <c r="B804" s="21"/>
      <c r="C804" s="21"/>
      <c r="D804" s="141"/>
      <c r="E804" s="108"/>
      <c r="F804" s="22"/>
      <c r="G804" s="219"/>
      <c r="H804" s="165"/>
      <c r="I804" s="21"/>
      <c r="J804" s="21"/>
      <c r="K804" s="182"/>
      <c r="L804" s="21"/>
      <c r="M804" s="21"/>
      <c r="N804" s="21"/>
      <c r="O804" s="21"/>
      <c r="P804" s="21"/>
      <c r="Q804" s="21"/>
      <c r="R804" s="21"/>
    </row>
    <row r="805" spans="1:18" s="1" customFormat="1">
      <c r="A805" s="282"/>
      <c r="B805" s="21"/>
      <c r="C805" s="21"/>
      <c r="D805" s="141"/>
      <c r="E805" s="108"/>
      <c r="F805" s="22"/>
      <c r="G805" s="219"/>
      <c r="H805" s="165"/>
      <c r="I805" s="21"/>
      <c r="J805" s="21"/>
      <c r="K805" s="182"/>
      <c r="L805" s="21"/>
      <c r="M805" s="21"/>
      <c r="N805" s="21"/>
      <c r="O805" s="21"/>
      <c r="P805" s="21"/>
      <c r="Q805" s="21"/>
      <c r="R805" s="21"/>
    </row>
    <row r="806" spans="1:18" s="1" customFormat="1">
      <c r="A806" s="282"/>
      <c r="B806" s="21"/>
      <c r="C806" s="21"/>
      <c r="D806" s="141"/>
      <c r="E806" s="108"/>
      <c r="F806" s="22"/>
      <c r="G806" s="219"/>
      <c r="H806" s="165"/>
      <c r="I806" s="21"/>
      <c r="J806" s="21"/>
      <c r="K806" s="182"/>
      <c r="L806" s="21"/>
      <c r="M806" s="21"/>
      <c r="N806" s="21"/>
      <c r="O806" s="21"/>
      <c r="P806" s="21"/>
      <c r="Q806" s="21"/>
      <c r="R806" s="21"/>
    </row>
    <row r="807" spans="1:18" s="1" customFormat="1">
      <c r="A807" s="282"/>
      <c r="B807" s="21"/>
      <c r="C807" s="21"/>
      <c r="D807" s="141"/>
      <c r="E807" s="108"/>
      <c r="F807" s="22"/>
      <c r="G807" s="219"/>
      <c r="H807" s="165"/>
      <c r="I807" s="21"/>
      <c r="J807" s="21"/>
      <c r="K807" s="182"/>
      <c r="L807" s="21"/>
      <c r="M807" s="21"/>
      <c r="N807" s="21"/>
      <c r="O807" s="21"/>
      <c r="P807" s="21"/>
      <c r="Q807" s="21"/>
      <c r="R807" s="21"/>
    </row>
    <row r="808" spans="1:18" s="1" customFormat="1">
      <c r="A808" s="282"/>
      <c r="B808" s="21"/>
      <c r="C808" s="21"/>
      <c r="D808" s="141"/>
      <c r="E808" s="108"/>
      <c r="F808" s="22"/>
      <c r="G808" s="219"/>
      <c r="H808" s="165"/>
      <c r="I808" s="21"/>
      <c r="J808" s="21"/>
      <c r="K808" s="182"/>
      <c r="L808" s="21"/>
      <c r="M808" s="21"/>
      <c r="N808" s="21"/>
      <c r="O808" s="21"/>
      <c r="P808" s="21"/>
      <c r="Q808" s="21"/>
      <c r="R808" s="21"/>
    </row>
    <row r="809" spans="1:18" s="1" customFormat="1">
      <c r="A809" s="282"/>
      <c r="B809" s="21"/>
      <c r="C809" s="21"/>
      <c r="D809" s="141"/>
      <c r="E809" s="108"/>
      <c r="F809" s="22"/>
      <c r="G809" s="219"/>
      <c r="H809" s="165"/>
      <c r="I809" s="21"/>
      <c r="J809" s="21"/>
      <c r="K809" s="182"/>
      <c r="L809" s="21"/>
      <c r="M809" s="21"/>
      <c r="N809" s="21"/>
      <c r="O809" s="21"/>
      <c r="P809" s="21"/>
      <c r="Q809" s="21"/>
      <c r="R809" s="21"/>
    </row>
    <row r="810" spans="1:18" s="1" customFormat="1">
      <c r="A810" s="282"/>
      <c r="B810" s="21"/>
      <c r="C810" s="21"/>
      <c r="D810" s="141"/>
      <c r="E810" s="108"/>
      <c r="F810" s="22"/>
      <c r="G810" s="219"/>
      <c r="H810" s="165"/>
      <c r="I810" s="21"/>
      <c r="J810" s="21"/>
      <c r="K810" s="182"/>
      <c r="L810" s="21"/>
      <c r="M810" s="21"/>
      <c r="N810" s="21"/>
      <c r="O810" s="21"/>
      <c r="P810" s="21"/>
      <c r="Q810" s="21"/>
      <c r="R810" s="21"/>
    </row>
    <row r="811" spans="1:18" s="1" customFormat="1">
      <c r="A811" s="282"/>
      <c r="B811" s="21"/>
      <c r="C811" s="21"/>
      <c r="D811" s="141"/>
      <c r="E811" s="108"/>
      <c r="F811" s="22"/>
      <c r="G811" s="219"/>
      <c r="H811" s="165"/>
      <c r="I811" s="21"/>
      <c r="J811" s="21"/>
      <c r="K811" s="182"/>
      <c r="L811" s="21"/>
      <c r="M811" s="21"/>
      <c r="N811" s="21"/>
      <c r="O811" s="21"/>
      <c r="P811" s="21"/>
      <c r="Q811" s="21"/>
      <c r="R811" s="21"/>
    </row>
    <row r="812" spans="1:18" s="1" customFormat="1">
      <c r="A812" s="282"/>
      <c r="B812" s="21"/>
      <c r="C812" s="21"/>
      <c r="D812" s="141"/>
      <c r="E812" s="108"/>
      <c r="F812" s="22"/>
      <c r="G812" s="219"/>
      <c r="H812" s="165"/>
      <c r="I812" s="21"/>
      <c r="J812" s="21"/>
      <c r="K812" s="182"/>
      <c r="L812" s="21"/>
      <c r="M812" s="21"/>
      <c r="N812" s="21"/>
      <c r="O812" s="21"/>
      <c r="P812" s="21"/>
      <c r="Q812" s="21"/>
      <c r="R812" s="21"/>
    </row>
    <row r="813" spans="1:18" s="1" customFormat="1">
      <c r="A813" s="282"/>
      <c r="B813" s="21"/>
      <c r="C813" s="21"/>
      <c r="D813" s="141"/>
      <c r="E813" s="108"/>
      <c r="F813" s="22"/>
      <c r="G813" s="219"/>
      <c r="H813" s="165"/>
      <c r="I813" s="21"/>
      <c r="J813" s="21"/>
      <c r="K813" s="182"/>
      <c r="L813" s="21"/>
      <c r="M813" s="21"/>
      <c r="N813" s="21"/>
      <c r="O813" s="21"/>
      <c r="P813" s="21"/>
      <c r="Q813" s="21"/>
      <c r="R813" s="21"/>
    </row>
    <row r="814" spans="1:18" s="1" customFormat="1">
      <c r="A814" s="282"/>
      <c r="B814" s="21"/>
      <c r="C814" s="21"/>
      <c r="D814" s="141"/>
      <c r="E814" s="108"/>
      <c r="F814" s="22"/>
      <c r="G814" s="219"/>
      <c r="H814" s="165"/>
      <c r="I814" s="21"/>
      <c r="J814" s="21"/>
      <c r="K814" s="182"/>
      <c r="L814" s="21"/>
      <c r="M814" s="21"/>
      <c r="N814" s="21"/>
      <c r="O814" s="21"/>
      <c r="P814" s="21"/>
      <c r="Q814" s="21"/>
      <c r="R814" s="21"/>
    </row>
    <row r="815" spans="1:18" s="1" customFormat="1">
      <c r="A815" s="282"/>
      <c r="B815" s="21"/>
      <c r="C815" s="21"/>
      <c r="D815" s="141"/>
      <c r="E815" s="108"/>
      <c r="F815" s="22"/>
      <c r="G815" s="219"/>
      <c r="H815" s="165"/>
      <c r="I815" s="21"/>
      <c r="J815" s="21"/>
      <c r="K815" s="182"/>
      <c r="L815" s="21"/>
      <c r="M815" s="21"/>
      <c r="N815" s="21"/>
      <c r="O815" s="21"/>
      <c r="P815" s="21"/>
      <c r="Q815" s="21"/>
      <c r="R815" s="21"/>
    </row>
    <row r="816" spans="1:18" s="1" customFormat="1">
      <c r="A816" s="282"/>
      <c r="B816" s="21"/>
      <c r="C816" s="21"/>
      <c r="D816" s="141"/>
      <c r="E816" s="108"/>
      <c r="F816" s="22"/>
      <c r="G816" s="219"/>
      <c r="H816" s="165"/>
      <c r="I816" s="21"/>
      <c r="J816" s="21"/>
      <c r="K816" s="182"/>
      <c r="L816" s="21"/>
      <c r="M816" s="21"/>
      <c r="N816" s="21"/>
      <c r="O816" s="21"/>
      <c r="P816" s="21"/>
      <c r="Q816" s="21"/>
      <c r="R816" s="21"/>
    </row>
    <row r="817" spans="1:18" s="1" customFormat="1">
      <c r="A817" s="282"/>
      <c r="B817" s="21"/>
      <c r="C817" s="21"/>
      <c r="D817" s="141"/>
      <c r="E817" s="108"/>
      <c r="F817" s="22"/>
      <c r="G817" s="219"/>
      <c r="H817" s="165"/>
      <c r="I817" s="21"/>
      <c r="J817" s="21"/>
      <c r="K817" s="182"/>
      <c r="L817" s="21"/>
      <c r="M817" s="21"/>
      <c r="N817" s="21"/>
      <c r="O817" s="21"/>
      <c r="P817" s="21"/>
      <c r="Q817" s="21"/>
      <c r="R817" s="21"/>
    </row>
    <row r="818" spans="1:18" s="1" customFormat="1">
      <c r="A818" s="282"/>
      <c r="B818" s="21"/>
      <c r="C818" s="21"/>
      <c r="D818" s="141"/>
      <c r="E818" s="108"/>
      <c r="F818" s="22"/>
      <c r="G818" s="219"/>
      <c r="H818" s="165"/>
      <c r="I818" s="21"/>
      <c r="J818" s="21"/>
      <c r="K818" s="182"/>
      <c r="L818" s="21"/>
      <c r="M818" s="21"/>
      <c r="N818" s="21"/>
      <c r="O818" s="21"/>
      <c r="P818" s="21"/>
      <c r="Q818" s="21"/>
      <c r="R818" s="21"/>
    </row>
    <row r="819" spans="1:18" s="1" customFormat="1">
      <c r="A819" s="282"/>
      <c r="B819" s="21"/>
      <c r="C819" s="21"/>
      <c r="D819" s="141"/>
      <c r="E819" s="108"/>
      <c r="F819" s="22"/>
      <c r="G819" s="219"/>
      <c r="H819" s="165"/>
      <c r="I819" s="21"/>
      <c r="J819" s="21"/>
      <c r="K819" s="182"/>
      <c r="L819" s="21"/>
      <c r="M819" s="21"/>
      <c r="N819" s="21"/>
      <c r="O819" s="21"/>
      <c r="P819" s="21"/>
      <c r="Q819" s="21"/>
      <c r="R819" s="21"/>
    </row>
    <row r="820" spans="1:18" s="1" customFormat="1">
      <c r="A820" s="282"/>
      <c r="B820" s="21"/>
      <c r="C820" s="21"/>
      <c r="D820" s="141"/>
      <c r="E820" s="108"/>
      <c r="F820" s="22"/>
      <c r="G820" s="219"/>
      <c r="H820" s="165"/>
      <c r="I820" s="21"/>
      <c r="J820" s="21"/>
      <c r="K820" s="182"/>
      <c r="L820" s="21"/>
      <c r="M820" s="21"/>
      <c r="N820" s="21"/>
      <c r="O820" s="21"/>
      <c r="P820" s="21"/>
      <c r="Q820" s="21"/>
      <c r="R820" s="21"/>
    </row>
    <row r="821" spans="1:18" s="1" customFormat="1">
      <c r="A821" s="282"/>
      <c r="B821" s="21"/>
      <c r="C821" s="21"/>
      <c r="D821" s="141"/>
      <c r="E821" s="108"/>
      <c r="F821" s="22"/>
      <c r="G821" s="219"/>
      <c r="H821" s="165"/>
      <c r="I821" s="21"/>
      <c r="J821" s="21"/>
      <c r="K821" s="182"/>
      <c r="L821" s="21"/>
      <c r="M821" s="21"/>
      <c r="N821" s="21"/>
      <c r="O821" s="21"/>
      <c r="P821" s="21"/>
      <c r="Q821" s="21"/>
      <c r="R821" s="21"/>
    </row>
    <row r="822" spans="1:18" s="1" customFormat="1">
      <c r="A822" s="282"/>
      <c r="B822" s="21"/>
      <c r="C822" s="21"/>
      <c r="D822" s="141"/>
      <c r="E822" s="108"/>
      <c r="F822" s="22"/>
      <c r="G822" s="219"/>
      <c r="H822" s="165"/>
      <c r="I822" s="21"/>
      <c r="J822" s="21"/>
      <c r="K822" s="182"/>
      <c r="L822" s="21"/>
      <c r="M822" s="21"/>
      <c r="N822" s="21"/>
      <c r="O822" s="21"/>
      <c r="P822" s="21"/>
      <c r="Q822" s="21"/>
      <c r="R822" s="21"/>
    </row>
    <row r="823" spans="1:18" s="1" customFormat="1">
      <c r="A823" s="282"/>
      <c r="B823" s="21"/>
      <c r="C823" s="21"/>
      <c r="D823" s="141"/>
      <c r="E823" s="108"/>
      <c r="F823" s="22"/>
      <c r="G823" s="219"/>
      <c r="H823" s="165"/>
      <c r="I823" s="21"/>
      <c r="J823" s="21"/>
      <c r="K823" s="182"/>
      <c r="L823" s="21"/>
      <c r="M823" s="21"/>
      <c r="N823" s="21"/>
      <c r="O823" s="21"/>
      <c r="P823" s="21"/>
      <c r="Q823" s="21"/>
      <c r="R823" s="21"/>
    </row>
    <row r="824" spans="1:18" s="1" customFormat="1">
      <c r="A824" s="282"/>
      <c r="B824" s="21"/>
      <c r="C824" s="21"/>
      <c r="D824" s="141"/>
      <c r="E824" s="108"/>
      <c r="F824" s="22"/>
      <c r="G824" s="219"/>
      <c r="H824" s="165"/>
      <c r="I824" s="21"/>
      <c r="J824" s="21"/>
      <c r="K824" s="182"/>
      <c r="L824" s="21"/>
      <c r="M824" s="21"/>
      <c r="N824" s="21"/>
      <c r="O824" s="21"/>
      <c r="P824" s="21"/>
      <c r="Q824" s="21"/>
      <c r="R824" s="21"/>
    </row>
    <row r="825" spans="1:18" s="1" customFormat="1">
      <c r="A825" s="282"/>
      <c r="B825" s="21"/>
      <c r="C825" s="21"/>
      <c r="D825" s="141"/>
      <c r="E825" s="108"/>
      <c r="F825" s="22"/>
      <c r="G825" s="219"/>
      <c r="H825" s="165"/>
      <c r="I825" s="21"/>
      <c r="J825" s="21"/>
      <c r="K825" s="182"/>
      <c r="L825" s="21"/>
      <c r="M825" s="21"/>
      <c r="N825" s="21"/>
      <c r="O825" s="21"/>
      <c r="P825" s="21"/>
      <c r="Q825" s="21"/>
      <c r="R825" s="21"/>
    </row>
    <row r="826" spans="1:18" s="1" customFormat="1">
      <c r="A826" s="282"/>
      <c r="B826" s="21"/>
      <c r="C826" s="21"/>
      <c r="D826" s="141"/>
      <c r="E826" s="108"/>
      <c r="F826" s="22"/>
      <c r="G826" s="219"/>
      <c r="H826" s="165"/>
      <c r="I826" s="21"/>
      <c r="J826" s="21"/>
      <c r="K826" s="182"/>
      <c r="L826" s="21"/>
      <c r="M826" s="21"/>
      <c r="N826" s="21"/>
      <c r="O826" s="21"/>
      <c r="P826" s="21"/>
      <c r="Q826" s="21"/>
      <c r="R826" s="21"/>
    </row>
    <row r="827" spans="1:18" s="1" customFormat="1">
      <c r="A827" s="282"/>
      <c r="B827" s="21"/>
      <c r="C827" s="21"/>
      <c r="D827" s="141"/>
      <c r="E827" s="108"/>
      <c r="F827" s="22"/>
      <c r="G827" s="219"/>
      <c r="H827" s="165"/>
      <c r="I827" s="21"/>
      <c r="J827" s="21"/>
      <c r="K827" s="182"/>
      <c r="L827" s="21"/>
      <c r="M827" s="21"/>
      <c r="N827" s="21"/>
      <c r="O827" s="21"/>
      <c r="P827" s="21"/>
      <c r="Q827" s="21"/>
      <c r="R827" s="21"/>
    </row>
    <row r="828" spans="1:18" s="1" customFormat="1">
      <c r="A828" s="282"/>
      <c r="B828" s="21"/>
      <c r="C828" s="21"/>
      <c r="D828" s="141"/>
      <c r="E828" s="108"/>
      <c r="F828" s="22"/>
      <c r="G828" s="219"/>
      <c r="H828" s="165"/>
      <c r="I828" s="21"/>
      <c r="J828" s="21"/>
      <c r="K828" s="182"/>
      <c r="L828" s="21"/>
      <c r="M828" s="21"/>
      <c r="N828" s="21"/>
      <c r="O828" s="21"/>
      <c r="P828" s="21"/>
      <c r="Q828" s="21"/>
      <c r="R828" s="21"/>
    </row>
    <row r="829" spans="1:18" s="1" customFormat="1">
      <c r="A829" s="282"/>
      <c r="B829" s="21"/>
      <c r="C829" s="21"/>
      <c r="D829" s="141"/>
      <c r="E829" s="108"/>
      <c r="F829" s="22"/>
      <c r="G829" s="219"/>
      <c r="H829" s="165"/>
      <c r="I829" s="21"/>
      <c r="J829" s="21"/>
      <c r="K829" s="182"/>
      <c r="L829" s="21"/>
      <c r="M829" s="21"/>
      <c r="N829" s="21"/>
      <c r="O829" s="21"/>
      <c r="P829" s="21"/>
      <c r="Q829" s="21"/>
      <c r="R829" s="21"/>
    </row>
    <row r="830" spans="1:18" s="1" customFormat="1">
      <c r="A830" s="282"/>
      <c r="B830" s="21"/>
      <c r="C830" s="21"/>
      <c r="D830" s="141"/>
      <c r="E830" s="108"/>
      <c r="F830" s="22"/>
      <c r="G830" s="219"/>
      <c r="H830" s="165"/>
      <c r="I830" s="21"/>
      <c r="J830" s="21"/>
      <c r="K830" s="182"/>
      <c r="L830" s="21"/>
      <c r="M830" s="21"/>
      <c r="N830" s="21"/>
      <c r="O830" s="21"/>
      <c r="P830" s="21"/>
      <c r="Q830" s="21"/>
      <c r="R830" s="21"/>
    </row>
    <row r="831" spans="1:18" s="1" customFormat="1">
      <c r="A831" s="282"/>
      <c r="B831" s="21"/>
      <c r="C831" s="21"/>
      <c r="D831" s="141"/>
      <c r="E831" s="108"/>
      <c r="F831" s="22"/>
      <c r="G831" s="219"/>
      <c r="H831" s="165"/>
      <c r="I831" s="21"/>
      <c r="J831" s="21"/>
      <c r="K831" s="182"/>
      <c r="L831" s="21"/>
      <c r="M831" s="21"/>
      <c r="N831" s="21"/>
      <c r="O831" s="21"/>
      <c r="P831" s="21"/>
      <c r="Q831" s="21"/>
      <c r="R831" s="21"/>
    </row>
    <row r="832" spans="1:18" s="1" customFormat="1">
      <c r="A832" s="282"/>
      <c r="B832" s="21"/>
      <c r="C832" s="21"/>
      <c r="D832" s="141"/>
      <c r="E832" s="108"/>
      <c r="F832" s="22"/>
      <c r="G832" s="219"/>
      <c r="H832" s="165"/>
      <c r="I832" s="21"/>
      <c r="J832" s="21"/>
      <c r="K832" s="182"/>
      <c r="L832" s="21"/>
      <c r="M832" s="21"/>
      <c r="N832" s="21"/>
      <c r="O832" s="21"/>
      <c r="P832" s="21"/>
      <c r="Q832" s="21"/>
      <c r="R832" s="21"/>
    </row>
    <row r="833" spans="1:18" s="1" customFormat="1">
      <c r="A833" s="282"/>
      <c r="B833" s="21"/>
      <c r="C833" s="21"/>
      <c r="D833" s="141"/>
      <c r="E833" s="108"/>
      <c r="F833" s="22"/>
      <c r="G833" s="219"/>
      <c r="H833" s="165"/>
      <c r="I833" s="21"/>
      <c r="J833" s="21"/>
      <c r="K833" s="182"/>
      <c r="L833" s="21"/>
      <c r="M833" s="21"/>
      <c r="N833" s="21"/>
      <c r="O833" s="21"/>
      <c r="P833" s="21"/>
      <c r="Q833" s="21"/>
      <c r="R833" s="21"/>
    </row>
    <row r="834" spans="1:18" s="1" customFormat="1">
      <c r="A834" s="282"/>
      <c r="B834" s="21"/>
      <c r="C834" s="21"/>
      <c r="D834" s="141"/>
      <c r="E834" s="108"/>
      <c r="F834" s="22"/>
      <c r="G834" s="219"/>
      <c r="H834" s="165"/>
      <c r="I834" s="21"/>
      <c r="J834" s="21"/>
      <c r="K834" s="182"/>
      <c r="L834" s="21"/>
      <c r="M834" s="21"/>
      <c r="N834" s="21"/>
      <c r="O834" s="21"/>
      <c r="P834" s="21"/>
      <c r="Q834" s="21"/>
      <c r="R834" s="21"/>
    </row>
    <row r="835" spans="1:18" s="1" customFormat="1">
      <c r="A835" s="282"/>
      <c r="B835" s="21"/>
      <c r="C835" s="21"/>
      <c r="D835" s="141"/>
      <c r="E835" s="108"/>
      <c r="F835" s="22"/>
      <c r="G835" s="219"/>
      <c r="H835" s="165"/>
      <c r="I835" s="21"/>
      <c r="J835" s="21"/>
      <c r="K835" s="182"/>
      <c r="L835" s="21"/>
      <c r="M835" s="21"/>
      <c r="N835" s="21"/>
      <c r="O835" s="21"/>
      <c r="P835" s="21"/>
      <c r="Q835" s="21"/>
      <c r="R835" s="21"/>
    </row>
    <row r="836" spans="1:18" s="1" customFormat="1">
      <c r="A836" s="282"/>
      <c r="B836" s="21"/>
      <c r="C836" s="21"/>
      <c r="D836" s="141"/>
      <c r="E836" s="108"/>
      <c r="F836" s="22"/>
      <c r="G836" s="219"/>
      <c r="H836" s="165"/>
      <c r="I836" s="21"/>
      <c r="J836" s="21"/>
      <c r="K836" s="182"/>
      <c r="L836" s="21"/>
      <c r="M836" s="21"/>
      <c r="N836" s="21"/>
      <c r="O836" s="21"/>
      <c r="P836" s="21"/>
      <c r="Q836" s="21"/>
      <c r="R836" s="21"/>
    </row>
    <row r="837" spans="1:18" s="1" customFormat="1">
      <c r="A837" s="282"/>
      <c r="B837" s="21"/>
      <c r="C837" s="21"/>
      <c r="D837" s="141"/>
      <c r="E837" s="108"/>
      <c r="F837" s="22"/>
      <c r="G837" s="219"/>
      <c r="H837" s="165"/>
      <c r="I837" s="21"/>
      <c r="J837" s="21"/>
      <c r="K837" s="182"/>
      <c r="L837" s="21"/>
      <c r="M837" s="21"/>
      <c r="N837" s="21"/>
      <c r="O837" s="21"/>
      <c r="P837" s="21"/>
      <c r="Q837" s="21"/>
      <c r="R837" s="21"/>
    </row>
    <row r="838" spans="1:18" s="1" customFormat="1">
      <c r="A838" s="282"/>
      <c r="B838" s="21"/>
      <c r="C838" s="21"/>
      <c r="D838" s="141"/>
      <c r="E838" s="108"/>
      <c r="F838" s="22"/>
      <c r="G838" s="219"/>
      <c r="H838" s="165"/>
      <c r="I838" s="21"/>
      <c r="J838" s="21"/>
      <c r="K838" s="182"/>
      <c r="L838" s="21"/>
      <c r="M838" s="21"/>
      <c r="N838" s="21"/>
      <c r="O838" s="21"/>
      <c r="P838" s="21"/>
      <c r="Q838" s="21"/>
      <c r="R838" s="21"/>
    </row>
    <row r="839" spans="1:18" s="1" customFormat="1">
      <c r="A839" s="282"/>
      <c r="B839" s="21"/>
      <c r="C839" s="21"/>
      <c r="D839" s="141"/>
      <c r="E839" s="108"/>
      <c r="F839" s="22"/>
      <c r="G839" s="219"/>
      <c r="H839" s="165"/>
      <c r="I839" s="21"/>
      <c r="J839" s="21"/>
      <c r="K839" s="182"/>
      <c r="L839" s="21"/>
      <c r="M839" s="21"/>
      <c r="N839" s="21"/>
      <c r="O839" s="21"/>
      <c r="P839" s="21"/>
      <c r="Q839" s="21"/>
      <c r="R839" s="21"/>
    </row>
    <row r="840" spans="1:18" s="1" customFormat="1">
      <c r="A840" s="282"/>
      <c r="B840" s="21"/>
      <c r="C840" s="21"/>
      <c r="D840" s="141"/>
      <c r="E840" s="108"/>
      <c r="F840" s="22"/>
      <c r="G840" s="219"/>
      <c r="H840" s="165"/>
      <c r="I840" s="21"/>
      <c r="J840" s="21"/>
      <c r="K840" s="182"/>
      <c r="L840" s="21"/>
      <c r="M840" s="21"/>
      <c r="N840" s="21"/>
      <c r="O840" s="21"/>
      <c r="P840" s="21"/>
      <c r="Q840" s="21"/>
      <c r="R840" s="21"/>
    </row>
    <row r="841" spans="1:18" s="1" customFormat="1">
      <c r="A841" s="282"/>
      <c r="B841" s="21"/>
      <c r="C841" s="21"/>
      <c r="D841" s="141"/>
      <c r="E841" s="108"/>
      <c r="F841" s="22"/>
      <c r="G841" s="219"/>
      <c r="H841" s="165"/>
      <c r="I841" s="21"/>
      <c r="J841" s="21"/>
      <c r="K841" s="182"/>
      <c r="L841" s="21"/>
      <c r="M841" s="21"/>
      <c r="N841" s="21"/>
      <c r="O841" s="21"/>
      <c r="P841" s="21"/>
      <c r="Q841" s="21"/>
      <c r="R841" s="21"/>
    </row>
    <row r="842" spans="1:18" s="1" customFormat="1">
      <c r="A842" s="282"/>
      <c r="B842" s="21"/>
      <c r="C842" s="21"/>
      <c r="D842" s="141"/>
      <c r="E842" s="108"/>
      <c r="F842" s="22"/>
      <c r="G842" s="219"/>
      <c r="H842" s="165"/>
      <c r="I842" s="21"/>
      <c r="J842" s="21"/>
      <c r="K842" s="182"/>
      <c r="L842" s="21"/>
      <c r="M842" s="21"/>
      <c r="N842" s="21"/>
      <c r="O842" s="21"/>
      <c r="P842" s="21"/>
      <c r="Q842" s="21"/>
      <c r="R842" s="21"/>
    </row>
    <row r="843" spans="1:18" s="1" customFormat="1">
      <c r="A843" s="282"/>
      <c r="B843" s="21"/>
      <c r="C843" s="21"/>
      <c r="D843" s="141"/>
      <c r="E843" s="108"/>
      <c r="F843" s="22"/>
      <c r="G843" s="219"/>
      <c r="H843" s="165"/>
      <c r="I843" s="21"/>
      <c r="J843" s="21"/>
      <c r="K843" s="182"/>
      <c r="L843" s="21"/>
      <c r="M843" s="21"/>
      <c r="N843" s="21"/>
      <c r="O843" s="21"/>
      <c r="P843" s="21"/>
      <c r="Q843" s="21"/>
      <c r="R843" s="21"/>
    </row>
    <row r="844" spans="1:18" s="1" customFormat="1">
      <c r="A844" s="282"/>
      <c r="B844" s="21"/>
      <c r="C844" s="21"/>
      <c r="D844" s="141"/>
      <c r="E844" s="108"/>
      <c r="F844" s="22"/>
      <c r="G844" s="219"/>
      <c r="H844" s="165"/>
      <c r="I844" s="21"/>
      <c r="J844" s="21"/>
      <c r="K844" s="182"/>
      <c r="L844" s="21"/>
      <c r="M844" s="21"/>
      <c r="N844" s="21"/>
      <c r="O844" s="21"/>
      <c r="P844" s="21"/>
      <c r="Q844" s="21"/>
      <c r="R844" s="21"/>
    </row>
    <row r="845" spans="1:18" s="1" customFormat="1">
      <c r="A845" s="282"/>
      <c r="B845" s="21"/>
      <c r="C845" s="21"/>
      <c r="D845" s="141"/>
      <c r="E845" s="108"/>
      <c r="F845" s="22"/>
      <c r="G845" s="219"/>
      <c r="H845" s="165"/>
      <c r="I845" s="21"/>
      <c r="J845" s="21"/>
      <c r="K845" s="182"/>
      <c r="L845" s="21"/>
      <c r="M845" s="21"/>
      <c r="N845" s="21"/>
      <c r="O845" s="21"/>
      <c r="P845" s="21"/>
      <c r="Q845" s="21"/>
      <c r="R845" s="21"/>
    </row>
    <row r="846" spans="1:18" s="1" customFormat="1">
      <c r="A846" s="282"/>
      <c r="B846" s="21"/>
      <c r="C846" s="21"/>
      <c r="D846" s="141"/>
      <c r="E846" s="108"/>
      <c r="F846" s="22"/>
      <c r="G846" s="219"/>
      <c r="H846" s="165"/>
      <c r="I846" s="21"/>
      <c r="J846" s="21"/>
      <c r="K846" s="182"/>
      <c r="L846" s="21"/>
      <c r="M846" s="21"/>
      <c r="N846" s="21"/>
      <c r="O846" s="21"/>
      <c r="P846" s="21"/>
      <c r="Q846" s="21"/>
      <c r="R846" s="21"/>
    </row>
    <row r="847" spans="1:18" s="1" customFormat="1">
      <c r="A847" s="282"/>
      <c r="B847" s="21"/>
      <c r="C847" s="21"/>
      <c r="D847" s="141"/>
      <c r="E847" s="108"/>
      <c r="F847" s="22"/>
      <c r="G847" s="219"/>
      <c r="H847" s="165"/>
      <c r="I847" s="21"/>
      <c r="J847" s="21"/>
      <c r="K847" s="182"/>
      <c r="L847" s="21"/>
      <c r="M847" s="21"/>
      <c r="N847" s="21"/>
      <c r="O847" s="21"/>
      <c r="P847" s="21"/>
      <c r="Q847" s="21"/>
      <c r="R847" s="21"/>
    </row>
    <row r="848" spans="1:18" s="1" customFormat="1">
      <c r="A848" s="282"/>
      <c r="B848" s="21"/>
      <c r="C848" s="21"/>
      <c r="D848" s="141"/>
      <c r="E848" s="108"/>
      <c r="F848" s="22"/>
      <c r="G848" s="219"/>
      <c r="H848" s="165"/>
      <c r="I848" s="21"/>
      <c r="J848" s="21"/>
      <c r="K848" s="182"/>
      <c r="L848" s="21"/>
      <c r="M848" s="21"/>
      <c r="N848" s="21"/>
      <c r="O848" s="21"/>
      <c r="P848" s="21"/>
      <c r="Q848" s="21"/>
      <c r="R848" s="21"/>
    </row>
    <row r="849" spans="1:18" s="1" customFormat="1">
      <c r="A849" s="282"/>
      <c r="B849" s="21"/>
      <c r="C849" s="21"/>
      <c r="D849" s="141"/>
      <c r="E849" s="108"/>
      <c r="F849" s="22"/>
      <c r="G849" s="219"/>
      <c r="H849" s="165"/>
      <c r="I849" s="21"/>
      <c r="J849" s="21"/>
      <c r="K849" s="182"/>
      <c r="L849" s="21"/>
      <c r="M849" s="21"/>
      <c r="N849" s="21"/>
      <c r="O849" s="21"/>
      <c r="P849" s="21"/>
      <c r="Q849" s="21"/>
      <c r="R849" s="21"/>
    </row>
    <row r="850" spans="1:18" s="1" customFormat="1">
      <c r="A850" s="282"/>
      <c r="B850" s="21"/>
      <c r="C850" s="21"/>
      <c r="D850" s="141"/>
      <c r="E850" s="108"/>
      <c r="F850" s="22"/>
      <c r="G850" s="219"/>
      <c r="H850" s="165"/>
      <c r="I850" s="21"/>
      <c r="J850" s="21"/>
      <c r="K850" s="182"/>
      <c r="L850" s="21"/>
      <c r="M850" s="21"/>
      <c r="N850" s="21"/>
      <c r="O850" s="21"/>
      <c r="P850" s="21"/>
      <c r="Q850" s="21"/>
      <c r="R850" s="21"/>
    </row>
    <row r="851" spans="1:18" s="1" customFormat="1">
      <c r="A851" s="282"/>
      <c r="B851" s="21"/>
      <c r="C851" s="21"/>
      <c r="D851" s="141"/>
      <c r="E851" s="108"/>
      <c r="F851" s="22"/>
      <c r="G851" s="219"/>
      <c r="H851" s="165"/>
      <c r="I851" s="21"/>
      <c r="J851" s="21"/>
      <c r="K851" s="182"/>
      <c r="L851" s="21"/>
      <c r="M851" s="21"/>
      <c r="N851" s="21"/>
      <c r="O851" s="21"/>
      <c r="P851" s="21"/>
      <c r="Q851" s="21"/>
      <c r="R851" s="21"/>
    </row>
    <row r="852" spans="1:18" s="1" customFormat="1">
      <c r="A852" s="282"/>
      <c r="B852" s="21"/>
      <c r="C852" s="21"/>
      <c r="D852" s="141"/>
      <c r="E852" s="108"/>
      <c r="F852" s="22"/>
      <c r="G852" s="219"/>
      <c r="H852" s="165"/>
      <c r="I852" s="21"/>
      <c r="J852" s="21"/>
      <c r="K852" s="182"/>
      <c r="L852" s="21"/>
      <c r="M852" s="21"/>
      <c r="N852" s="21"/>
      <c r="O852" s="21"/>
      <c r="P852" s="21"/>
      <c r="Q852" s="21"/>
      <c r="R852" s="21"/>
    </row>
    <row r="853" spans="1:18" s="1" customFormat="1">
      <c r="A853" s="282"/>
      <c r="B853" s="21"/>
      <c r="C853" s="21"/>
      <c r="D853" s="141"/>
      <c r="E853" s="108"/>
      <c r="F853" s="22"/>
      <c r="G853" s="219"/>
      <c r="H853" s="165"/>
      <c r="I853" s="21"/>
      <c r="J853" s="21"/>
      <c r="K853" s="182"/>
      <c r="L853" s="21"/>
      <c r="M853" s="21"/>
      <c r="N853" s="21"/>
      <c r="O853" s="21"/>
      <c r="P853" s="21"/>
      <c r="Q853" s="21"/>
      <c r="R853" s="21"/>
    </row>
    <row r="854" spans="1:18" s="1" customFormat="1">
      <c r="A854" s="282"/>
      <c r="B854" s="21"/>
      <c r="C854" s="21"/>
      <c r="D854" s="141"/>
      <c r="E854" s="108"/>
      <c r="F854" s="22"/>
      <c r="G854" s="219"/>
      <c r="H854" s="165"/>
      <c r="I854" s="21"/>
      <c r="J854" s="21"/>
      <c r="K854" s="182"/>
      <c r="L854" s="21"/>
      <c r="M854" s="21"/>
      <c r="N854" s="21"/>
      <c r="O854" s="21"/>
      <c r="P854" s="21"/>
      <c r="Q854" s="21"/>
      <c r="R854" s="21"/>
    </row>
    <row r="855" spans="1:18" s="1" customFormat="1">
      <c r="A855" s="282"/>
      <c r="B855" s="21"/>
      <c r="C855" s="21"/>
      <c r="D855" s="141"/>
      <c r="E855" s="108"/>
      <c r="F855" s="22"/>
      <c r="G855" s="219"/>
      <c r="H855" s="165"/>
      <c r="I855" s="21"/>
      <c r="J855" s="21"/>
      <c r="K855" s="182"/>
      <c r="L855" s="21"/>
      <c r="M855" s="21"/>
      <c r="N855" s="21"/>
      <c r="O855" s="21"/>
      <c r="P855" s="21"/>
      <c r="Q855" s="21"/>
      <c r="R855" s="21"/>
    </row>
    <row r="856" spans="1:18" s="1" customFormat="1">
      <c r="A856" s="282"/>
      <c r="B856" s="21"/>
      <c r="C856" s="21"/>
      <c r="D856" s="141"/>
      <c r="E856" s="108"/>
      <c r="F856" s="22"/>
      <c r="G856" s="219"/>
      <c r="H856" s="165"/>
      <c r="I856" s="21"/>
      <c r="J856" s="21"/>
      <c r="K856" s="182"/>
      <c r="L856" s="21"/>
      <c r="M856" s="21"/>
      <c r="N856" s="21"/>
      <c r="O856" s="21"/>
      <c r="P856" s="21"/>
      <c r="Q856" s="21"/>
      <c r="R856" s="21"/>
    </row>
    <row r="857" spans="1:18" s="1" customFormat="1">
      <c r="A857" s="282"/>
      <c r="B857" s="21"/>
      <c r="C857" s="21"/>
      <c r="D857" s="141"/>
      <c r="E857" s="108"/>
      <c r="F857" s="22"/>
      <c r="G857" s="219"/>
      <c r="H857" s="165"/>
      <c r="I857" s="21"/>
      <c r="J857" s="21"/>
      <c r="K857" s="182"/>
      <c r="L857" s="21"/>
      <c r="M857" s="21"/>
      <c r="N857" s="21"/>
      <c r="O857" s="21"/>
      <c r="P857" s="21"/>
      <c r="Q857" s="21"/>
      <c r="R857" s="21"/>
    </row>
    <row r="858" spans="1:18" s="1" customFormat="1">
      <c r="A858" s="282"/>
      <c r="B858" s="21"/>
      <c r="C858" s="21"/>
      <c r="D858" s="141"/>
      <c r="E858" s="108"/>
      <c r="F858" s="22"/>
      <c r="G858" s="219"/>
      <c r="H858" s="165"/>
      <c r="I858" s="21"/>
      <c r="J858" s="21"/>
      <c r="K858" s="182"/>
      <c r="L858" s="21"/>
      <c r="M858" s="21"/>
      <c r="N858" s="21"/>
      <c r="O858" s="21"/>
      <c r="P858" s="21"/>
      <c r="Q858" s="21"/>
      <c r="R858" s="21"/>
    </row>
    <row r="859" spans="1:18" s="1" customFormat="1">
      <c r="A859" s="282"/>
      <c r="B859" s="21"/>
      <c r="C859" s="21"/>
      <c r="D859" s="141"/>
      <c r="E859" s="108"/>
      <c r="F859" s="22"/>
      <c r="G859" s="219"/>
      <c r="H859" s="165"/>
      <c r="I859" s="21"/>
      <c r="J859" s="21"/>
      <c r="K859" s="182"/>
      <c r="L859" s="21"/>
      <c r="M859" s="21"/>
      <c r="N859" s="21"/>
      <c r="O859" s="21"/>
      <c r="P859" s="21"/>
      <c r="Q859" s="21"/>
      <c r="R859" s="21"/>
    </row>
    <row r="860" spans="1:18" s="1" customFormat="1">
      <c r="A860" s="282"/>
      <c r="B860" s="21"/>
      <c r="C860" s="21"/>
      <c r="D860" s="141"/>
      <c r="E860" s="108"/>
      <c r="F860" s="22"/>
      <c r="G860" s="219"/>
      <c r="H860" s="165"/>
      <c r="I860" s="21"/>
      <c r="J860" s="21"/>
      <c r="K860" s="182"/>
      <c r="L860" s="21"/>
      <c r="M860" s="21"/>
      <c r="N860" s="21"/>
      <c r="O860" s="21"/>
      <c r="P860" s="21"/>
      <c r="Q860" s="21"/>
      <c r="R860" s="21"/>
    </row>
    <row r="861" spans="1:18" s="1" customFormat="1">
      <c r="A861" s="282"/>
      <c r="B861" s="21"/>
      <c r="C861" s="21"/>
      <c r="D861" s="141"/>
      <c r="E861" s="108"/>
      <c r="F861" s="22"/>
      <c r="G861" s="219"/>
      <c r="H861" s="165"/>
      <c r="I861" s="21"/>
      <c r="J861" s="21"/>
      <c r="K861" s="182"/>
      <c r="L861" s="21"/>
      <c r="M861" s="21"/>
      <c r="N861" s="21"/>
      <c r="O861" s="21"/>
      <c r="P861" s="21"/>
      <c r="Q861" s="21"/>
      <c r="R861" s="21"/>
    </row>
    <row r="862" spans="1:18" s="1" customFormat="1">
      <c r="A862" s="282"/>
      <c r="B862" s="21"/>
      <c r="C862" s="21"/>
      <c r="D862" s="141"/>
      <c r="E862" s="108"/>
      <c r="F862" s="22"/>
      <c r="G862" s="219"/>
      <c r="H862" s="165"/>
      <c r="I862" s="21"/>
      <c r="J862" s="21"/>
      <c r="K862" s="182"/>
      <c r="L862" s="21"/>
      <c r="M862" s="21"/>
      <c r="N862" s="21"/>
      <c r="O862" s="21"/>
      <c r="P862" s="21"/>
      <c r="Q862" s="21"/>
      <c r="R862" s="21"/>
    </row>
    <row r="863" spans="1:18" s="1" customFormat="1">
      <c r="A863" s="282"/>
      <c r="B863" s="21"/>
      <c r="C863" s="21"/>
      <c r="D863" s="141"/>
      <c r="E863" s="108"/>
      <c r="F863" s="22"/>
      <c r="G863" s="219"/>
      <c r="H863" s="165"/>
      <c r="I863" s="21"/>
      <c r="J863" s="21"/>
      <c r="K863" s="182"/>
      <c r="L863" s="21"/>
      <c r="M863" s="21"/>
      <c r="N863" s="21"/>
      <c r="O863" s="21"/>
      <c r="P863" s="21"/>
      <c r="Q863" s="21"/>
      <c r="R863" s="21"/>
    </row>
    <row r="864" spans="1:18" s="1" customFormat="1">
      <c r="A864" s="282"/>
      <c r="B864" s="21"/>
      <c r="C864" s="21"/>
      <c r="D864" s="141"/>
      <c r="E864" s="108"/>
      <c r="F864" s="22"/>
      <c r="G864" s="219"/>
      <c r="H864" s="165"/>
      <c r="I864" s="21"/>
      <c r="J864" s="21"/>
      <c r="K864" s="182"/>
      <c r="L864" s="21"/>
      <c r="M864" s="21"/>
      <c r="N864" s="21"/>
      <c r="O864" s="21"/>
      <c r="P864" s="21"/>
      <c r="Q864" s="21"/>
      <c r="R864" s="21"/>
    </row>
    <row r="865" spans="1:18" s="1" customFormat="1">
      <c r="A865" s="282"/>
      <c r="B865" s="21"/>
      <c r="C865" s="21"/>
      <c r="D865" s="141"/>
      <c r="E865" s="108"/>
      <c r="F865" s="22"/>
      <c r="G865" s="219"/>
      <c r="H865" s="165"/>
      <c r="I865" s="21"/>
      <c r="J865" s="21"/>
      <c r="K865" s="182"/>
      <c r="L865" s="21"/>
      <c r="M865" s="21"/>
      <c r="N865" s="21"/>
      <c r="O865" s="21"/>
      <c r="P865" s="21"/>
      <c r="Q865" s="21"/>
      <c r="R865" s="21"/>
    </row>
    <row r="866" spans="1:18" s="1" customFormat="1">
      <c r="A866" s="282"/>
      <c r="B866" s="21"/>
      <c r="C866" s="21"/>
      <c r="D866" s="141"/>
      <c r="E866" s="108"/>
      <c r="F866" s="22"/>
      <c r="G866" s="219"/>
      <c r="H866" s="165"/>
      <c r="I866" s="21"/>
      <c r="J866" s="21"/>
      <c r="K866" s="182"/>
      <c r="L866" s="21"/>
      <c r="M866" s="21"/>
      <c r="N866" s="21"/>
      <c r="O866" s="21"/>
      <c r="P866" s="21"/>
      <c r="Q866" s="21"/>
      <c r="R866" s="21"/>
    </row>
    <row r="867" spans="1:18" s="1" customFormat="1">
      <c r="A867" s="282"/>
      <c r="B867" s="21"/>
      <c r="C867" s="21"/>
      <c r="D867" s="141"/>
      <c r="E867" s="108"/>
      <c r="F867" s="22"/>
      <c r="G867" s="219"/>
      <c r="H867" s="165"/>
      <c r="I867" s="21"/>
      <c r="J867" s="21"/>
      <c r="K867" s="182"/>
      <c r="L867" s="21"/>
      <c r="M867" s="21"/>
      <c r="N867" s="21"/>
      <c r="O867" s="21"/>
      <c r="P867" s="21"/>
      <c r="Q867" s="21"/>
      <c r="R867" s="21"/>
    </row>
    <row r="868" spans="1:18" s="1" customFormat="1">
      <c r="A868" s="282"/>
      <c r="B868" s="21"/>
      <c r="C868" s="21"/>
      <c r="D868" s="141"/>
      <c r="E868" s="108"/>
      <c r="F868" s="22"/>
      <c r="G868" s="219"/>
      <c r="H868" s="165"/>
      <c r="I868" s="21"/>
      <c r="J868" s="21"/>
      <c r="K868" s="182"/>
      <c r="L868" s="21"/>
      <c r="M868" s="21"/>
      <c r="N868" s="21"/>
      <c r="O868" s="21"/>
      <c r="P868" s="21"/>
      <c r="Q868" s="21"/>
      <c r="R868" s="21"/>
    </row>
    <row r="869" spans="1:18" s="1" customFormat="1">
      <c r="A869" s="282"/>
      <c r="B869" s="21"/>
      <c r="C869" s="21"/>
      <c r="D869" s="141"/>
      <c r="E869" s="108"/>
      <c r="F869" s="22"/>
      <c r="G869" s="219"/>
      <c r="H869" s="165"/>
      <c r="I869" s="21"/>
      <c r="J869" s="21"/>
      <c r="K869" s="182"/>
      <c r="L869" s="21"/>
      <c r="M869" s="21"/>
      <c r="N869" s="21"/>
      <c r="O869" s="21"/>
      <c r="P869" s="21"/>
      <c r="Q869" s="21"/>
      <c r="R869" s="21"/>
    </row>
    <row r="870" spans="1:18" s="1" customFormat="1">
      <c r="A870" s="282"/>
      <c r="B870" s="21"/>
      <c r="C870" s="21"/>
      <c r="D870" s="141"/>
      <c r="E870" s="108"/>
      <c r="F870" s="22"/>
      <c r="G870" s="219"/>
      <c r="H870" s="165"/>
      <c r="I870" s="21"/>
      <c r="J870" s="21"/>
      <c r="K870" s="182"/>
      <c r="L870" s="21"/>
      <c r="M870" s="21"/>
      <c r="N870" s="21"/>
      <c r="O870" s="21"/>
      <c r="P870" s="21"/>
      <c r="Q870" s="21"/>
      <c r="R870" s="21"/>
    </row>
    <row r="871" spans="1:18" s="1" customFormat="1">
      <c r="A871" s="282"/>
      <c r="B871" s="21"/>
      <c r="C871" s="21"/>
      <c r="D871" s="141"/>
      <c r="E871" s="108"/>
      <c r="F871" s="22"/>
      <c r="G871" s="219"/>
      <c r="H871" s="165"/>
      <c r="I871" s="21"/>
      <c r="J871" s="21"/>
      <c r="K871" s="182"/>
      <c r="L871" s="21"/>
      <c r="M871" s="21"/>
      <c r="N871" s="21"/>
      <c r="O871" s="21"/>
      <c r="P871" s="21"/>
      <c r="Q871" s="21"/>
      <c r="R871" s="21"/>
    </row>
    <row r="872" spans="1:18" s="1" customFormat="1">
      <c r="A872" s="282"/>
      <c r="B872" s="21"/>
      <c r="C872" s="21"/>
      <c r="D872" s="141"/>
      <c r="E872" s="108"/>
      <c r="F872" s="22"/>
      <c r="G872" s="219"/>
      <c r="H872" s="165"/>
      <c r="I872" s="21"/>
      <c r="J872" s="21"/>
      <c r="K872" s="182"/>
      <c r="L872" s="21"/>
      <c r="M872" s="21"/>
      <c r="N872" s="21"/>
      <c r="O872" s="21"/>
      <c r="P872" s="21"/>
      <c r="Q872" s="21"/>
      <c r="R872" s="21"/>
    </row>
    <row r="873" spans="1:18" s="1" customFormat="1">
      <c r="A873" s="282"/>
      <c r="B873" s="21"/>
      <c r="C873" s="21"/>
      <c r="D873" s="141"/>
      <c r="E873" s="108"/>
      <c r="F873" s="22"/>
      <c r="G873" s="219"/>
      <c r="H873" s="165"/>
      <c r="I873" s="21"/>
      <c r="J873" s="21"/>
      <c r="K873" s="182"/>
      <c r="L873" s="21"/>
      <c r="M873" s="21"/>
      <c r="N873" s="21"/>
      <c r="O873" s="21"/>
      <c r="P873" s="21"/>
      <c r="Q873" s="21"/>
      <c r="R873" s="21"/>
    </row>
    <row r="874" spans="1:18" s="1" customFormat="1">
      <c r="A874" s="282"/>
      <c r="B874" s="21"/>
      <c r="C874" s="21"/>
      <c r="D874" s="141"/>
      <c r="E874" s="108"/>
      <c r="F874" s="22"/>
      <c r="G874" s="219"/>
      <c r="H874" s="165"/>
      <c r="I874" s="21"/>
      <c r="J874" s="21"/>
      <c r="K874" s="182"/>
      <c r="L874" s="21"/>
      <c r="M874" s="21"/>
      <c r="N874" s="21"/>
      <c r="O874" s="21"/>
      <c r="P874" s="21"/>
      <c r="Q874" s="21"/>
      <c r="R874" s="21"/>
    </row>
    <row r="875" spans="1:18" s="1" customFormat="1">
      <c r="A875" s="282"/>
      <c r="B875" s="21"/>
      <c r="C875" s="21"/>
      <c r="D875" s="141"/>
      <c r="E875" s="108"/>
      <c r="F875" s="22"/>
      <c r="G875" s="219"/>
      <c r="H875" s="165"/>
      <c r="I875" s="21"/>
      <c r="J875" s="21"/>
      <c r="K875" s="182"/>
      <c r="L875" s="21"/>
      <c r="M875" s="21"/>
      <c r="N875" s="21"/>
      <c r="O875" s="21"/>
      <c r="P875" s="21"/>
      <c r="Q875" s="21"/>
      <c r="R875" s="21"/>
    </row>
    <row r="876" spans="1:18" s="1" customFormat="1">
      <c r="A876" s="282"/>
      <c r="B876" s="21"/>
      <c r="C876" s="21"/>
      <c r="D876" s="141"/>
      <c r="E876" s="108"/>
      <c r="F876" s="22"/>
      <c r="G876" s="219"/>
      <c r="H876" s="165"/>
      <c r="I876" s="21"/>
      <c r="J876" s="21"/>
      <c r="K876" s="182"/>
      <c r="L876" s="21"/>
      <c r="M876" s="21"/>
      <c r="N876" s="21"/>
      <c r="O876" s="21"/>
      <c r="P876" s="21"/>
      <c r="Q876" s="21"/>
      <c r="R876" s="21"/>
    </row>
    <row r="877" spans="1:18" s="1" customFormat="1">
      <c r="A877" s="282"/>
      <c r="B877" s="21"/>
      <c r="C877" s="21"/>
      <c r="D877" s="141"/>
      <c r="E877" s="108"/>
      <c r="F877" s="22"/>
      <c r="G877" s="219"/>
      <c r="H877" s="165"/>
      <c r="I877" s="21"/>
      <c r="J877" s="21"/>
      <c r="K877" s="182"/>
      <c r="L877" s="21"/>
      <c r="M877" s="21"/>
      <c r="N877" s="21"/>
      <c r="O877" s="21"/>
      <c r="P877" s="21"/>
      <c r="Q877" s="21"/>
      <c r="R877" s="21"/>
    </row>
    <row r="878" spans="1:18" s="1" customFormat="1">
      <c r="A878" s="282"/>
      <c r="B878" s="21"/>
      <c r="C878" s="21"/>
      <c r="D878" s="141"/>
      <c r="E878" s="108"/>
      <c r="F878" s="22"/>
      <c r="G878" s="219"/>
      <c r="H878" s="165"/>
      <c r="I878" s="21"/>
      <c r="J878" s="21"/>
      <c r="K878" s="182"/>
      <c r="L878" s="21"/>
      <c r="M878" s="21"/>
      <c r="N878" s="21"/>
      <c r="O878" s="21"/>
      <c r="P878" s="21"/>
      <c r="Q878" s="21"/>
      <c r="R878" s="21"/>
    </row>
    <row r="879" spans="1:18" s="1" customFormat="1">
      <c r="A879" s="282"/>
      <c r="B879" s="21"/>
      <c r="C879" s="21"/>
      <c r="D879" s="141"/>
      <c r="E879" s="108"/>
      <c r="F879" s="22"/>
      <c r="G879" s="219"/>
      <c r="H879" s="165"/>
      <c r="I879" s="21"/>
      <c r="J879" s="21"/>
      <c r="K879" s="182"/>
      <c r="L879" s="21"/>
      <c r="M879" s="21"/>
      <c r="N879" s="21"/>
      <c r="O879" s="21"/>
      <c r="P879" s="21"/>
      <c r="Q879" s="21"/>
      <c r="R879" s="21"/>
    </row>
    <row r="880" spans="1:18" s="1" customFormat="1">
      <c r="A880" s="282"/>
      <c r="B880" s="21"/>
      <c r="C880" s="21"/>
      <c r="D880" s="141"/>
      <c r="E880" s="108"/>
      <c r="F880" s="22"/>
      <c r="G880" s="219"/>
      <c r="H880" s="165"/>
      <c r="I880" s="21"/>
      <c r="J880" s="21"/>
      <c r="K880" s="182"/>
      <c r="L880" s="21"/>
      <c r="M880" s="21"/>
      <c r="N880" s="21"/>
      <c r="O880" s="21"/>
      <c r="P880" s="21"/>
      <c r="Q880" s="21"/>
      <c r="R880" s="21"/>
    </row>
    <row r="881" spans="1:18" s="1" customFormat="1">
      <c r="A881" s="282"/>
      <c r="B881" s="21"/>
      <c r="C881" s="21"/>
      <c r="D881" s="141"/>
      <c r="E881" s="108"/>
      <c r="F881" s="22"/>
      <c r="G881" s="219"/>
      <c r="H881" s="165"/>
      <c r="I881" s="21"/>
      <c r="J881" s="21"/>
      <c r="K881" s="182"/>
      <c r="L881" s="21"/>
      <c r="M881" s="21"/>
      <c r="N881" s="21"/>
      <c r="O881" s="21"/>
      <c r="P881" s="21"/>
      <c r="Q881" s="21"/>
      <c r="R881" s="21"/>
    </row>
    <row r="882" spans="1:18" s="1" customFormat="1">
      <c r="A882" s="282"/>
      <c r="B882" s="21"/>
      <c r="C882" s="21"/>
      <c r="D882" s="141"/>
      <c r="E882" s="108"/>
      <c r="F882" s="22"/>
      <c r="G882" s="219"/>
      <c r="H882" s="165"/>
      <c r="I882" s="21"/>
      <c r="J882" s="21"/>
      <c r="K882" s="182"/>
      <c r="L882" s="21"/>
      <c r="M882" s="21"/>
      <c r="N882" s="21"/>
      <c r="O882" s="21"/>
      <c r="P882" s="21"/>
      <c r="Q882" s="21"/>
      <c r="R882" s="21"/>
    </row>
    <row r="883" spans="1:18" s="1" customFormat="1">
      <c r="A883" s="282"/>
      <c r="B883" s="21"/>
      <c r="C883" s="21"/>
      <c r="D883" s="141"/>
      <c r="E883" s="108"/>
      <c r="F883" s="22"/>
      <c r="G883" s="219"/>
      <c r="H883" s="165"/>
      <c r="I883" s="21"/>
      <c r="J883" s="21"/>
      <c r="K883" s="182"/>
      <c r="L883" s="21"/>
      <c r="M883" s="21"/>
      <c r="N883" s="21"/>
      <c r="O883" s="21"/>
      <c r="P883" s="21"/>
      <c r="Q883" s="21"/>
      <c r="R883" s="21"/>
    </row>
    <row r="884" spans="1:18" s="1" customFormat="1">
      <c r="A884" s="280"/>
      <c r="B884" s="21"/>
      <c r="C884" s="21"/>
      <c r="D884" s="141"/>
      <c r="E884" s="108"/>
      <c r="F884" s="22"/>
      <c r="G884" s="219"/>
      <c r="H884" s="165"/>
      <c r="I884" s="21"/>
      <c r="J884" s="21"/>
      <c r="K884" s="182"/>
      <c r="L884" s="21"/>
      <c r="M884" s="21"/>
      <c r="N884" s="21"/>
      <c r="O884" s="21"/>
      <c r="P884" s="21"/>
      <c r="Q884" s="21"/>
      <c r="R884" s="21"/>
    </row>
    <row r="885" spans="1:18">
      <c r="B885" s="21"/>
      <c r="C885" s="21"/>
    </row>
  </sheetData>
  <sheetProtection sort="0"/>
  <protectedRanges>
    <protectedRange algorithmName="SHA-512" hashValue="cR6hX/ezBuP67ZlK3HPGDp3VIJdbTswY9rUgXSiwOwrOpmlnKLf3fS9lKGfPvtHh3x+bMzLiWPUgs7QR+kdy8Q==" saltValue="FCMQ9DgbrGg7+F6mrMnr5Q==" spinCount="100000" sqref="F66:R79 H3:R49 E1:E2 C1:C2 F3:G52 H57:R65 F57:G64 F56:R56 F54:G55 H50:H55 I52:R55" name="Bereik1"/>
  </protectedRanges>
  <sortState xmlns:xlrd2="http://schemas.microsoft.com/office/spreadsheetml/2017/richdata2" ref="A1:R885">
    <sortCondition ref="B1:B885"/>
  </sortState>
  <mergeCells count="2">
    <mergeCell ref="X2:Z2"/>
    <mergeCell ref="X1:Z1"/>
  </mergeCells>
  <phoneticPr fontId="0" type="noConversion"/>
  <conditionalFormatting sqref="F3:G52 F54:G65">
    <cfRule type="cellIs" dxfId="11" priority="9" operator="equal">
      <formula>"A"</formula>
    </cfRule>
  </conditionalFormatting>
  <conditionalFormatting sqref="C3">
    <cfRule type="expression" dxfId="10" priority="8">
      <formula>"F3=A"</formula>
    </cfRule>
  </conditionalFormatting>
  <conditionalFormatting sqref="F32">
    <cfRule type="cellIs" dxfId="9" priority="5" operator="lessThan">
      <formula>1</formula>
    </cfRule>
  </conditionalFormatting>
  <conditionalFormatting sqref="E1">
    <cfRule type="cellIs" dxfId="8" priority="4" operator="equal">
      <formula>"A"</formula>
    </cfRule>
  </conditionalFormatting>
  <conditionalFormatting sqref="C1">
    <cfRule type="cellIs" dxfId="7" priority="3" operator="equal">
      <formula>"A"</formula>
    </cfRule>
  </conditionalFormatting>
  <conditionalFormatting sqref="F53">
    <cfRule type="cellIs" dxfId="6" priority="2" operator="equal">
      <formula>"A"</formula>
    </cfRule>
  </conditionalFormatting>
  <conditionalFormatting sqref="G53">
    <cfRule type="cellIs" dxfId="5" priority="1" operator="equal">
      <formula>"A"</formula>
    </cfRule>
  </conditionalFormatting>
  <pageMargins left="0.19685039370078741" right="0.19685039370078741" top="0.19685039370078741" bottom="0.39370078740157483" header="0" footer="0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8479-70C0-4AE5-A658-F30505A4E64A}">
  <sheetPr codeName="Blad8"/>
  <dimension ref="A1:I47"/>
  <sheetViews>
    <sheetView workbookViewId="0"/>
  </sheetViews>
  <sheetFormatPr defaultColWidth="9.140625" defaultRowHeight="12.75"/>
  <cols>
    <col min="1" max="1" width="13.85546875" style="72" bestFit="1" customWidth="1"/>
    <col min="2" max="2" width="15" style="72" bestFit="1" customWidth="1"/>
    <col min="3" max="3" width="16.28515625" style="72" customWidth="1"/>
    <col min="4" max="4" width="16.28515625" style="72" bestFit="1" customWidth="1"/>
    <col min="5" max="5" width="8.28515625" style="72" customWidth="1"/>
    <col min="6" max="6" width="17" style="72" customWidth="1"/>
    <col min="7" max="7" width="15.140625" style="72" customWidth="1"/>
    <col min="8" max="8" width="16.42578125" style="72" customWidth="1"/>
    <col min="9" max="9" width="14.7109375" style="72" customWidth="1"/>
    <col min="10" max="16384" width="9.140625" style="72"/>
  </cols>
  <sheetData>
    <row r="1" spans="1:9" s="78" customFormat="1" ht="14.25">
      <c r="A1" s="78" t="s">
        <v>61</v>
      </c>
      <c r="D1" s="79">
        <f ca="1">Loting!$R$2</f>
        <v>46139</v>
      </c>
      <c r="I1" s="79">
        <f ca="1">Loting!$R$2</f>
        <v>46139</v>
      </c>
    </row>
    <row r="2" spans="1:9" ht="21" customHeight="1"/>
    <row r="3" spans="1:9" ht="15" customHeight="1">
      <c r="A3" s="81"/>
      <c r="B3" s="81"/>
      <c r="C3" s="82">
        <f>Loting!M31</f>
        <v>5</v>
      </c>
      <c r="D3" s="83">
        <f>Loting!N31</f>
        <v>1</v>
      </c>
      <c r="F3" s="82"/>
      <c r="G3" s="82"/>
      <c r="H3" s="82">
        <f>Loting!R31</f>
        <v>5</v>
      </c>
      <c r="I3" s="83">
        <f>Loting!S31</f>
        <v>2</v>
      </c>
    </row>
    <row r="4" spans="1:9" ht="19.5" customHeight="1"/>
    <row r="5" spans="1:9" ht="12.75" customHeight="1"/>
    <row r="6" spans="1:9" ht="12.75" customHeight="1"/>
    <row r="7" spans="1:9">
      <c r="A7" s="80" t="str">
        <f ca="1">Loting!$K$9</f>
        <v/>
      </c>
      <c r="B7" s="80" t="str">
        <f ca="1">Loting!M$9</f>
        <v/>
      </c>
      <c r="C7" s="80" t="str">
        <f ca="1">Loting!P$9</f>
        <v/>
      </c>
      <c r="D7" s="80" t="str">
        <f ca="1">Loting!$P$9</f>
        <v/>
      </c>
      <c r="E7" s="80"/>
      <c r="F7" s="80" t="str">
        <f ca="1">Loting!$K$10</f>
        <v/>
      </c>
      <c r="G7" s="80" t="str">
        <f ca="1">Loting!$M$10</f>
        <v/>
      </c>
      <c r="H7" s="80" t="str">
        <f ca="1">Loting!$P$10</f>
        <v/>
      </c>
      <c r="I7" s="80" t="str">
        <f ca="1">Loting!$R$10</f>
        <v/>
      </c>
    </row>
    <row r="9" spans="1:9" s="78" customFormat="1" ht="14.25">
      <c r="D9" s="79">
        <f ca="1">Loting!$R$2</f>
        <v>46139</v>
      </c>
      <c r="I9" s="79">
        <f ca="1">Loting!$R$2</f>
        <v>46139</v>
      </c>
    </row>
    <row r="10" spans="1:9" ht="21" customHeight="1"/>
    <row r="11" spans="1:9" ht="15" customHeight="1">
      <c r="A11" s="81"/>
      <c r="B11" s="81"/>
      <c r="C11" s="82">
        <f>Loting!M38</f>
        <v>5</v>
      </c>
      <c r="D11" s="83">
        <f>Loting!N38</f>
        <v>3</v>
      </c>
      <c r="F11" s="82"/>
      <c r="G11" s="82"/>
      <c r="H11" s="82">
        <f>Loting!R38</f>
        <v>5</v>
      </c>
      <c r="I11" s="83">
        <f>Loting!S38</f>
        <v>4</v>
      </c>
    </row>
    <row r="12" spans="1:9" ht="19.5" customHeight="1"/>
    <row r="13" spans="1:9" ht="12.75" customHeight="1"/>
    <row r="14" spans="1:9" ht="12.75" customHeight="1"/>
    <row r="15" spans="1:9">
      <c r="A15" s="80" t="str">
        <f>Loting!$E$13</f>
        <v>ZZZZ</v>
      </c>
      <c r="B15" s="80" t="str">
        <f>Loting!$E$14</f>
        <v>ZZZZ</v>
      </c>
      <c r="C15" s="80" t="str">
        <f>Loting!$E$15</f>
        <v>ZZZZ</v>
      </c>
      <c r="D15" s="80" t="str">
        <f>Loting!$E$16</f>
        <v>ZZZZ</v>
      </c>
      <c r="E15" s="80"/>
      <c r="F15" s="80" t="str">
        <f>Loting!$E$17</f>
        <v>ZZZZ</v>
      </c>
      <c r="G15" s="80" t="str">
        <f>Loting!$E$18</f>
        <v>ZZZZ</v>
      </c>
      <c r="H15" s="80" t="str">
        <f>Loting!$E$19</f>
        <v>ZZZZ</v>
      </c>
      <c r="I15" s="80" t="str">
        <f>Loting!$E$20</f>
        <v>ZZZZ</v>
      </c>
    </row>
    <row r="16" spans="1:9">
      <c r="A16" s="80"/>
      <c r="B16" s="80"/>
      <c r="C16" s="80"/>
      <c r="D16" s="80"/>
      <c r="E16" s="80"/>
      <c r="F16" s="80"/>
      <c r="G16" s="80"/>
      <c r="H16" s="80"/>
      <c r="I16" s="80"/>
    </row>
    <row r="17" spans="1:9" s="78" customFormat="1" ht="14.25">
      <c r="D17" s="79"/>
      <c r="I17" s="79">
        <f ca="1">Loting!$R$2</f>
        <v>46139</v>
      </c>
    </row>
    <row r="18" spans="1:9" ht="21" customHeight="1"/>
    <row r="19" spans="1:9" ht="15" customHeight="1">
      <c r="A19" s="81"/>
      <c r="B19" s="81"/>
      <c r="C19" s="82">
        <f>Loting!M45</f>
        <v>5</v>
      </c>
      <c r="D19" s="83">
        <f>Loting!N45</f>
        <v>5</v>
      </c>
      <c r="F19" s="82"/>
      <c r="G19" s="82"/>
      <c r="H19" s="82">
        <f>Loting!R45</f>
        <v>5</v>
      </c>
      <c r="I19" s="83">
        <f>Loting!S45</f>
        <v>6</v>
      </c>
    </row>
    <row r="20" spans="1:9" ht="19.5" customHeight="1"/>
    <row r="21" spans="1:9" ht="12.75" customHeight="1"/>
    <row r="22" spans="1:9" ht="12.75" customHeight="1"/>
    <row r="23" spans="1:9">
      <c r="A23" s="80" t="str">
        <f>Loting!$E$21</f>
        <v>ZZZZ</v>
      </c>
      <c r="B23" s="80" t="str">
        <f>Loting!$E$22</f>
        <v>ZZZZ</v>
      </c>
      <c r="C23" s="80" t="str">
        <f>Loting!$E$23</f>
        <v>ZZZZ</v>
      </c>
      <c r="D23" s="80" t="str">
        <f>Loting!$E$24</f>
        <v>ZZZZ</v>
      </c>
      <c r="E23" s="80"/>
      <c r="F23" s="80" t="str">
        <f>Loting!$E$25</f>
        <v>ZZZZ</v>
      </c>
      <c r="G23" s="80" t="str">
        <f>Loting!$E$26</f>
        <v>ZZZZ</v>
      </c>
      <c r="H23" s="80" t="str">
        <f>Loting!$E$27</f>
        <v>ZZZZ</v>
      </c>
      <c r="I23" s="80" t="str">
        <f>Loting!$E$28</f>
        <v>ZZZZ</v>
      </c>
    </row>
    <row r="25" spans="1:9" s="78" customFormat="1" ht="14.25">
      <c r="D25" s="79">
        <f ca="1">Loting!$R$2</f>
        <v>46139</v>
      </c>
      <c r="I25" s="79">
        <f ca="1">Loting!$R$2</f>
        <v>46139</v>
      </c>
    </row>
    <row r="26" spans="1:9" ht="21" customHeight="1"/>
    <row r="27" spans="1:9" ht="15" customHeight="1">
      <c r="A27" s="81"/>
      <c r="B27" s="81"/>
      <c r="C27" s="82">
        <f>Loting!M52</f>
        <v>5</v>
      </c>
      <c r="D27" s="83">
        <f>Loting!N52</f>
        <v>7</v>
      </c>
      <c r="F27" s="82"/>
      <c r="G27" s="82"/>
      <c r="H27" s="82">
        <f>Loting!R52</f>
        <v>5</v>
      </c>
      <c r="I27" s="83">
        <f>Loting!S52</f>
        <v>8</v>
      </c>
    </row>
    <row r="28" spans="1:9" ht="19.5" customHeight="1"/>
    <row r="29" spans="1:9" ht="12.75" customHeight="1"/>
    <row r="30" spans="1:9" ht="12.75" customHeight="1"/>
    <row r="31" spans="1:9">
      <c r="A31" s="80" t="e">
        <f>Loting!#REF!</f>
        <v>#REF!</v>
      </c>
      <c r="B31" s="80" t="str">
        <f>Loting!$E$29</f>
        <v>ZZZZ</v>
      </c>
      <c r="C31" s="80" t="str">
        <f>Loting!$E$30</f>
        <v>ZZZZ</v>
      </c>
      <c r="D31" s="80" t="str">
        <f>Loting!$E$31</f>
        <v>ZZZZ</v>
      </c>
      <c r="E31" s="80"/>
      <c r="F31" s="80" t="str">
        <f>Loting!$E$32</f>
        <v>ZZZZ</v>
      </c>
      <c r="G31" s="80" t="str">
        <f>Loting!$E$33</f>
        <v>ZZZZ</v>
      </c>
      <c r="H31" s="80" t="str">
        <f>Loting!$E$34</f>
        <v>ZZZZ</v>
      </c>
      <c r="I31" s="80" t="str">
        <f>Loting!$E$35</f>
        <v>ZZZZ</v>
      </c>
    </row>
    <row r="32" spans="1:9">
      <c r="A32" s="80"/>
      <c r="B32" s="80"/>
      <c r="C32" s="80"/>
      <c r="D32" s="80"/>
      <c r="E32" s="80"/>
      <c r="F32" s="80"/>
      <c r="G32" s="80"/>
      <c r="H32" s="80"/>
      <c r="I32" s="80"/>
    </row>
    <row r="33" spans="1:9" s="78" customFormat="1" ht="14.25">
      <c r="D33" s="79">
        <f ca="1">Loting!$R$2</f>
        <v>46139</v>
      </c>
      <c r="I33" s="79">
        <f ca="1">Loting!$R$2</f>
        <v>46139</v>
      </c>
    </row>
    <row r="34" spans="1:9" ht="21" customHeight="1"/>
    <row r="35" spans="1:9" ht="15" customHeight="1">
      <c r="A35" s="81"/>
      <c r="B35" s="81"/>
      <c r="C35" s="82">
        <f>Loting!M59</f>
        <v>5</v>
      </c>
      <c r="D35" s="83">
        <f>Loting!N59</f>
        <v>9</v>
      </c>
      <c r="F35" s="82"/>
      <c r="G35" s="82"/>
      <c r="H35" s="82">
        <f>Loting!R59</f>
        <v>5</v>
      </c>
      <c r="I35" s="83">
        <f>Loting!S59</f>
        <v>10</v>
      </c>
    </row>
    <row r="36" spans="1:9" ht="19.5" customHeight="1"/>
    <row r="37" spans="1:9" ht="12.75" customHeight="1"/>
    <row r="38" spans="1:9" ht="12.75" customHeight="1"/>
    <row r="39" spans="1:9">
      <c r="A39" s="80" t="str">
        <f>Loting!$E$36</f>
        <v>ZZZZ</v>
      </c>
      <c r="B39" s="80" t="str">
        <f>Loting!$E$37</f>
        <v>ZZZZ</v>
      </c>
      <c r="C39" s="80" t="str">
        <f>Loting!$E$38</f>
        <v>ZZZZ</v>
      </c>
      <c r="D39" s="80" t="str">
        <f>Loting!$E$39</f>
        <v>ZZZZ</v>
      </c>
      <c r="E39" s="80"/>
      <c r="F39" s="80" t="str">
        <f>Loting!$E$40</f>
        <v>ZZZZ</v>
      </c>
      <c r="G39" s="80" t="str">
        <f>Loting!$E$41</f>
        <v>ZZZZ</v>
      </c>
      <c r="H39" s="80" t="str">
        <f>Loting!$E$42</f>
        <v>ZZZZ</v>
      </c>
      <c r="I39" s="80" t="str">
        <f>Loting!$E$43</f>
        <v>ZZZZ</v>
      </c>
    </row>
    <row r="40" spans="1:9">
      <c r="A40" s="80"/>
      <c r="B40" s="80"/>
      <c r="C40" s="80"/>
      <c r="D40" s="80"/>
      <c r="E40" s="80"/>
      <c r="F40" s="80"/>
      <c r="G40" s="80"/>
      <c r="H40" s="80"/>
      <c r="I40" s="80"/>
    </row>
    <row r="41" spans="1:9" s="78" customFormat="1" ht="14.25">
      <c r="D41" s="79">
        <f ca="1">Loting!$R$2</f>
        <v>46139</v>
      </c>
      <c r="I41" s="79">
        <f ca="1">Loting!$R$2</f>
        <v>46139</v>
      </c>
    </row>
    <row r="42" spans="1:9" ht="21" customHeight="1"/>
    <row r="43" spans="1:9" ht="15" customHeight="1">
      <c r="A43" s="81"/>
      <c r="B43" s="81"/>
      <c r="C43" s="82">
        <f>Loting!M66</f>
        <v>5</v>
      </c>
      <c r="D43" s="83">
        <f>Loting!N66</f>
        <v>11</v>
      </c>
      <c r="F43" s="82"/>
      <c r="G43" s="82"/>
      <c r="H43" s="82">
        <f>Loting!R66</f>
        <v>5</v>
      </c>
      <c r="I43" s="83">
        <f>Loting!S66</f>
        <v>12</v>
      </c>
    </row>
    <row r="44" spans="1:9" ht="19.5" customHeight="1"/>
    <row r="45" spans="1:9" ht="12.75" customHeight="1"/>
    <row r="46" spans="1:9" ht="12.75" customHeight="1"/>
    <row r="47" spans="1:9">
      <c r="A47" s="80" t="str">
        <f>Loting!$E$44</f>
        <v>ZZZZ</v>
      </c>
      <c r="B47" s="80" t="str">
        <f>Loting!$E$45</f>
        <v>ZZZZ</v>
      </c>
      <c r="C47" s="80" t="str">
        <f>Loting!$E$46</f>
        <v>ZZZZ</v>
      </c>
      <c r="D47" s="80" t="str">
        <f>Loting!$E$47</f>
        <v>ZZZZ</v>
      </c>
      <c r="E47" s="80"/>
      <c r="F47" s="80" t="str">
        <f>Loting!$E$48</f>
        <v>ZZZZ</v>
      </c>
      <c r="G47" s="80" t="str">
        <f>Loting!$E$49</f>
        <v>ZZZZ</v>
      </c>
      <c r="H47" s="80" t="str">
        <f>Loting!$E$50</f>
        <v>ZZZZ</v>
      </c>
      <c r="I47" s="80" t="str">
        <f>Loting!$E$51</f>
        <v>ZZZZ</v>
      </c>
    </row>
  </sheetData>
  <protectedRanges>
    <protectedRange algorithmName="SHA-512" hashValue="JPZaeeskQPW58iTbUvIHCou3b+LxUyjwnFcRwnr25IBW0kgxB3HJIwo8E4+0Ynl28xecMD902TZkrZ53G1bymw==" saltValue="a5dDRtMmZoG6cgSDtFaSUQ==" spinCount="100000" sqref="K2:K5" name="Printings"/>
  </protectedRanges>
  <pageMargins left="0.9055118110236221" right="0" top="0.15748031496062992" bottom="0.74803149606299213" header="0.27559055118110237" footer="0.31496062992125984"/>
  <pageSetup paperSize="9" orientation="landscape" verticalDpi="300" r:id="rId1"/>
  <rowBreaks count="5" manualBreakCount="5">
    <brk id="8" max="16383" man="1"/>
    <brk id="16" max="16383" man="1"/>
    <brk id="24" max="16383" man="1"/>
    <brk id="32" max="16383" man="1"/>
    <brk id="4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rgb="FF92D050"/>
  </sheetPr>
  <dimension ref="A1:AF325"/>
  <sheetViews>
    <sheetView topLeftCell="E1" workbookViewId="0">
      <selection activeCell="B1" sqref="B1:C1"/>
    </sheetView>
  </sheetViews>
  <sheetFormatPr defaultColWidth="9.140625" defaultRowHeight="12.75"/>
  <cols>
    <col min="1" max="1" width="30.85546875" hidden="1" customWidth="1"/>
    <col min="2" max="2" width="6.85546875" style="5" customWidth="1"/>
    <col min="3" max="3" width="6.42578125" style="5" customWidth="1"/>
    <col min="4" max="4" width="4.42578125" style="5" customWidth="1"/>
    <col min="5" max="5" width="24" style="14" customWidth="1"/>
    <col min="6" max="6" width="5.140625" customWidth="1"/>
    <col min="7" max="7" width="4.85546875" style="24" customWidth="1"/>
    <col min="8" max="8" width="36" style="16" customWidth="1"/>
    <col min="9" max="9" width="4.42578125" style="3" customWidth="1"/>
    <col min="10" max="10" width="4" customWidth="1"/>
    <col min="11" max="11" width="19" style="7" customWidth="1"/>
    <col min="12" max="12" width="13.85546875" style="7" customWidth="1"/>
    <col min="13" max="13" width="15.7109375" style="7" customWidth="1"/>
    <col min="14" max="14" width="17.42578125" style="7" customWidth="1"/>
    <col min="15" max="15" width="5" style="7" customWidth="1"/>
    <col min="16" max="16" width="17.28515625" style="7" customWidth="1"/>
    <col min="17" max="18" width="15.7109375" style="7" customWidth="1"/>
    <col min="19" max="19" width="18.7109375" style="7" customWidth="1"/>
    <col min="20" max="20" width="27.140625" style="7" customWidth="1"/>
    <col min="21" max="21" width="10.7109375" style="7" customWidth="1"/>
    <col min="22" max="22" width="11" style="7" customWidth="1"/>
    <col min="24" max="24" width="4.7109375" customWidth="1"/>
    <col min="26" max="26" width="10.42578125" customWidth="1"/>
    <col min="28" max="28" width="26.140625" bestFit="1" customWidth="1"/>
  </cols>
  <sheetData>
    <row r="1" spans="1:28" ht="16.5" thickBot="1">
      <c r="B1" s="297" t="s">
        <v>125</v>
      </c>
      <c r="C1" s="298"/>
      <c r="D1" s="222"/>
      <c r="E1" s="28" t="s">
        <v>6</v>
      </c>
      <c r="F1" s="29">
        <v>5</v>
      </c>
      <c r="G1" s="301" t="s">
        <v>8</v>
      </c>
      <c r="H1" s="3"/>
      <c r="J1" s="59"/>
      <c r="K1" s="178">
        <f>MOD(F1,4)+1</f>
        <v>2</v>
      </c>
      <c r="L1" s="179"/>
      <c r="M1" s="178">
        <f>MOD(K1,4)+1</f>
        <v>3</v>
      </c>
      <c r="N1" s="179"/>
      <c r="O1" s="180"/>
      <c r="P1" s="178">
        <f>MOD(M1,4)+1</f>
        <v>4</v>
      </c>
      <c r="Q1" s="179"/>
      <c r="R1" s="178">
        <f>MOD(P1,4)+1</f>
        <v>1</v>
      </c>
      <c r="S1" s="179"/>
      <c r="T1" s="36" t="s">
        <v>34</v>
      </c>
      <c r="U1" s="114"/>
      <c r="AB1" s="184" t="s">
        <v>154</v>
      </c>
    </row>
    <row r="2" spans="1:28" ht="16.5" thickBot="1">
      <c r="A2" s="172" t="s">
        <v>142</v>
      </c>
      <c r="B2" s="223">
        <f ca="1">MIN(3,MAX(6-F3,1))</f>
        <v>3</v>
      </c>
      <c r="C2" s="223">
        <f ca="1">B2+F3-1</f>
        <v>2</v>
      </c>
      <c r="D2" s="27"/>
      <c r="E2" s="30" t="s">
        <v>4</v>
      </c>
      <c r="F2" s="31">
        <f ca="1">COUNTIF(A5:A69,"&lt;10000")</f>
        <v>0</v>
      </c>
      <c r="G2" s="302"/>
      <c r="H2" s="3"/>
      <c r="J2" s="59"/>
      <c r="M2" s="93"/>
      <c r="R2" s="299">
        <f ca="1">H8</f>
        <v>46139</v>
      </c>
      <c r="S2" s="300"/>
      <c r="T2" s="132"/>
      <c r="U2" s="114"/>
      <c r="AA2">
        <v>1</v>
      </c>
      <c r="AB2" s="19" t="str">
        <f ca="1">K9</f>
        <v/>
      </c>
    </row>
    <row r="3" spans="1:28" ht="17.25" customHeight="1" thickTop="1" thickBot="1">
      <c r="B3" s="27"/>
      <c r="C3" s="27"/>
      <c r="D3" s="27"/>
      <c r="E3" s="32" t="s">
        <v>5</v>
      </c>
      <c r="F3" s="33">
        <f ca="1">(F2-D4)/4</f>
        <v>0</v>
      </c>
      <c r="G3" s="302"/>
      <c r="H3" s="26"/>
      <c r="J3" s="59"/>
      <c r="N3" s="94"/>
      <c r="R3" s="300"/>
      <c r="S3" s="300"/>
      <c r="T3" s="132"/>
      <c r="U3" s="114"/>
      <c r="AB3" s="20" t="str">
        <f ca="1">M9</f>
        <v/>
      </c>
    </row>
    <row r="4" spans="1:28" ht="26.25" thickBot="1">
      <c r="A4" s="7" t="s">
        <v>140</v>
      </c>
      <c r="B4" s="167" t="s">
        <v>138</v>
      </c>
      <c r="C4" s="167" t="s">
        <v>139</v>
      </c>
      <c r="D4" s="17">
        <f ca="1">MOD(F2,4)</f>
        <v>0</v>
      </c>
      <c r="E4" s="92" t="str">
        <f ca="1">IF(COUNTIF(D5:D83,"R")=D4,"Loting Ctrl-Shift-L","#Reserve: "&amp;COUNTIF(D5:D83,"R")&amp;"-&gt;"&amp;D4)</f>
        <v>Loting Ctrl-Shift-L</v>
      </c>
      <c r="F4" s="35" t="s">
        <v>33</v>
      </c>
      <c r="G4" s="303"/>
      <c r="H4" s="52" t="s">
        <v>127</v>
      </c>
      <c r="J4" s="59"/>
      <c r="K4" s="95"/>
      <c r="M4" s="96"/>
      <c r="N4" s="93"/>
      <c r="R4" s="97" t="s">
        <v>48</v>
      </c>
      <c r="S4" s="98">
        <f>F1</f>
        <v>5</v>
      </c>
      <c r="T4" s="114"/>
      <c r="U4" s="114"/>
      <c r="AB4" s="20" t="str">
        <f ca="1">P9</f>
        <v/>
      </c>
    </row>
    <row r="5" spans="1:28" ht="18.75" customHeight="1" thickTop="1" thickBot="1">
      <c r="A5" s="174">
        <f ca="1">IF(LEN(E5)&gt;5,IF(D5="R",9999,IF(ISERROR(MATCH(E5,AanwezigReserve!Y$3:Y$7,0)),TRUNC(10+RAND()*1000),TRUNC(RAND()*10))+IF(AND(F5="Geen",ISERROR(MATCH(E5,AanwezigReserve!Y$3:Y$7,0))),1100+RAND()*200,0)),10000)</f>
        <v>10000</v>
      </c>
      <c r="B5" s="18">
        <f ca="1">IFERROR(VLOOKUP(E5,AanwezigReserve!Y$3:Z$6,2,0),IF(COUNTIF(B$4:B4,B$2)&lt;3,B$2,IF(COUNTIF(B$4:B4,B4)&lt;4,B4,B4+1)))</f>
        <v>3</v>
      </c>
      <c r="C5" s="18" t="str">
        <f ca="1">IF(AND(B$2&lt;=B5,B5&lt;=C$2),4*(B5-1)+COUNTIF(B$5:B5,B5),"")</f>
        <v/>
      </c>
      <c r="D5" s="168"/>
      <c r="E5" s="4" t="str">
        <f>IF(AND(ISNUMBER(AanwezigReserve!F22),AanwezigReserve!F22&gt;=$F$1),AanwezigReserve!D22,"ZZZZ")</f>
        <v>ZZZZ</v>
      </c>
      <c r="F5" s="34" t="str">
        <f>IF(ISERROR(VLOOKUP(E5,AanwezigReserve!D:H,4,0)),"",IF(VLOOKUP(E5,AanwezigReserve!D:H,4,0)="G","Geen",""))</f>
        <v/>
      </c>
      <c r="G5" s="25" t="str">
        <f>IF(ISERROR(VLOOKUP(E5,AanwezigReserve!D:H,4,0)),"",VLOOKUP(E5,AanwezigReserve!D:H,5,0))</f>
        <v/>
      </c>
      <c r="H5" s="52" t="s">
        <v>128</v>
      </c>
      <c r="J5" s="59"/>
      <c r="M5" s="93"/>
      <c r="O5" s="99"/>
      <c r="P5" s="99"/>
      <c r="T5" s="138" t="s">
        <v>132</v>
      </c>
      <c r="U5" s="224" t="s">
        <v>170</v>
      </c>
      <c r="AA5" s="7"/>
      <c r="AB5" s="20" t="str">
        <f ca="1">R9</f>
        <v/>
      </c>
    </row>
    <row r="6" spans="1:28" ht="18.75" customHeight="1" thickTop="1" thickBot="1">
      <c r="A6" s="174">
        <f ca="1">IF(LEN(E6)&gt;5,IF(D6="R",9999,IF(ISERROR(MATCH(E6,AanwezigReserve!Y$3:Y$7,0)),TRUNC(10+RAND()*1000),TRUNC(RAND()*10))+IF(AND(F6="Geen",ISERROR(MATCH(E6,AanwezigReserve!Y$3:Y$7,0))),1100+RAND()*200,0)),10000)</f>
        <v>10000</v>
      </c>
      <c r="B6" s="18">
        <f ca="1">IFERROR(VLOOKUP(E6,AanwezigReserve!Y$3:Z$6,2,0),IF(COUNTIF(B$4:B5,B$2)&lt;3,B$2,IF(COUNTIF(B$4:B5,B5)&lt;4,B5,B5+1)))</f>
        <v>3</v>
      </c>
      <c r="C6" s="18" t="str">
        <f ca="1">IF(AND(B$2&lt;=B6,B6&lt;=C$2),4*(B6-1)+COUNTIF(B$5:B6,B6),"")</f>
        <v/>
      </c>
      <c r="D6" s="168"/>
      <c r="E6" s="4" t="str">
        <f>IF(AND(ISNUMBER(AanwezigReserve!F45),AanwezigReserve!F45&gt;=$F$1),AanwezigReserve!D45,"ZZZZ")</f>
        <v>ZZZZ</v>
      </c>
      <c r="F6" s="34" t="str">
        <f>IF(ISERROR(VLOOKUP(E6,AanwezigReserve!D:H,4,0)),"",IF(VLOOKUP(E6,AanwezigReserve!D:H,4,0)="G","Geen",""))</f>
        <v/>
      </c>
      <c r="G6" s="25" t="str">
        <f>IF(ISERROR(VLOOKUP(E6,AanwezigReserve!D:H,4,0)),"",VLOOKUP(E6,AanwezigReserve!D:H,5,0))</f>
        <v/>
      </c>
      <c r="H6" s="53"/>
      <c r="I6"/>
      <c r="J6" s="55"/>
      <c r="K6" s="10" t="str">
        <f ca="1">F3&amp;" tafels, "&amp;F2&amp;" spelers"</f>
        <v>0 tafels, 0 spelers</v>
      </c>
      <c r="M6" s="93"/>
      <c r="N6" s="196" t="s">
        <v>48</v>
      </c>
      <c r="O6" s="197">
        <f>F1</f>
        <v>5</v>
      </c>
      <c r="P6" s="198"/>
      <c r="R6" s="296"/>
      <c r="S6" s="296"/>
      <c r="T6" s="133"/>
      <c r="U6" s="114"/>
      <c r="AA6" s="7">
        <f>AA2+1</f>
        <v>2</v>
      </c>
      <c r="AB6" s="19" t="str">
        <f ca="1">K10</f>
        <v/>
      </c>
    </row>
    <row r="7" spans="1:28" ht="19.5" thickTop="1" thickBot="1">
      <c r="A7" s="174">
        <f ca="1">IF(LEN(E7)&gt;5,IF(D7="R",9999,IF(ISERROR(MATCH(E7,AanwezigReserve!Y$3:Y$7,0)),TRUNC(10+RAND()*1000),TRUNC(RAND()*10))+IF(AND(F7="Geen",ISERROR(MATCH(E7,AanwezigReserve!Y$3:Y$7,0))),1100+RAND()*200,0)),10000)</f>
        <v>10000</v>
      </c>
      <c r="B7" s="18">
        <f ca="1">IFERROR(VLOOKUP(E7,AanwezigReserve!Y$3:Z$6,2,0),IF(COUNTIF(B$4:B6,B$2)&lt;3,B$2,IF(COUNTIF(B$4:B6,B6)&lt;4,B6,B6+1)))</f>
        <v>3</v>
      </c>
      <c r="C7" s="18" t="str">
        <f ca="1">IF(AND(B$2&lt;=B7,B7&lt;=C$2),4*(B7-1)+COUNTIF(B$5:B7,B7),"")</f>
        <v/>
      </c>
      <c r="D7" s="168"/>
      <c r="E7" s="4" t="str">
        <f>IF(AND(ISNUMBER(AanwezigReserve!F29),AanwezigReserve!F29&gt;=$F$1),AanwezigReserve!D29,"ZZZZ")</f>
        <v>ZZZZ</v>
      </c>
      <c r="F7" s="34" t="str">
        <f>IF(ISERROR(VLOOKUP(E7,AanwezigReserve!D:H,4,0)),"",IF(VLOOKUP(E7,AanwezigReserve!D:H,4,0)="G","Geen",""))</f>
        <v/>
      </c>
      <c r="G7" s="25" t="str">
        <f>IF(ISERROR(VLOOKUP(E7,AanwezigReserve!D:H,4,0)),"",VLOOKUP(E7,AanwezigReserve!D:H,5,0))</f>
        <v/>
      </c>
      <c r="H7" s="52" t="s">
        <v>126</v>
      </c>
      <c r="I7"/>
      <c r="J7" s="56"/>
      <c r="M7" s="93"/>
      <c r="N7" s="77"/>
      <c r="P7" s="13"/>
      <c r="R7" s="296"/>
      <c r="S7" s="296"/>
      <c r="U7" s="114"/>
      <c r="AB7" s="20" t="str">
        <f ca="1">M10</f>
        <v/>
      </c>
    </row>
    <row r="8" spans="1:28" ht="17.25" thickTop="1" thickBot="1">
      <c r="A8" s="174">
        <f ca="1">IF(LEN(E8)&gt;5,IF(D8="R",9999,IF(ISERROR(MATCH(E8,AanwezigReserve!Y$3:Y$7,0)),TRUNC(10+RAND()*1000),TRUNC(RAND()*10))+IF(AND(F8="Geen",ISERROR(MATCH(E8,AanwezigReserve!Y$3:Y$7,0))),1100+RAND()*200,0)),10000)</f>
        <v>10000</v>
      </c>
      <c r="B8" s="18">
        <f ca="1">IFERROR(VLOOKUP(E8,AanwezigReserve!Y$3:Z$6,2,0),IF(COUNTIF(B$4:B7,B$2)&lt;3,B$2,IF(COUNTIF(B$4:B7,B7)&lt;4,B7,B7+1)))</f>
        <v>3</v>
      </c>
      <c r="C8" s="18" t="str">
        <f ca="1">IF(AND(B$2&lt;=B8,B8&lt;=C$2),4*(B8-1)+COUNTIF(B$5:B8,B8),"")</f>
        <v/>
      </c>
      <c r="D8" s="168"/>
      <c r="E8" s="4" t="str">
        <f>IF(AND(ISNUMBER(AanwezigReserve!F20),AanwezigReserve!F20&gt;=$F$1),AanwezigReserve!D20,"ZZZZ")</f>
        <v>ZZZZ</v>
      </c>
      <c r="F8" s="34" t="str">
        <f>IF(ISERROR(VLOOKUP(E8,AanwezigReserve!D:H,4,0)),"",IF(VLOOKUP(E8,AanwezigReserve!D:H,4,0)="G","Geen",""))</f>
        <v/>
      </c>
      <c r="G8" s="25" t="str">
        <f>IF(ISERROR(VLOOKUP(E8,AanwezigReserve!D:H,4,0)),"",VLOOKUP(E8,AanwezigReserve!D:H,5,0))</f>
        <v/>
      </c>
      <c r="H8" s="139">
        <f ca="1">TODAY()</f>
        <v>46139</v>
      </c>
      <c r="I8"/>
      <c r="J8" s="173"/>
      <c r="T8" s="138"/>
      <c r="U8" s="171" t="s">
        <v>137</v>
      </c>
      <c r="V8" s="112" t="s">
        <v>137</v>
      </c>
      <c r="AB8" s="20" t="str">
        <f ca="1">P10</f>
        <v/>
      </c>
    </row>
    <row r="9" spans="1:28" ht="20.100000000000001" customHeight="1" thickTop="1" thickBot="1">
      <c r="A9" s="174">
        <f ca="1">IF(LEN(E9)&gt;5,IF(D9="R",9999,IF(ISERROR(MATCH(E9,AanwezigReserve!Y$3:Y$7,0)),TRUNC(10+RAND()*1000),TRUNC(RAND()*10))+IF(AND(F9="Geen",ISERROR(MATCH(E9,AanwezigReserve!Y$3:Y$7,0))),1100+RAND()*200,0)),10000)</f>
        <v>10000</v>
      </c>
      <c r="B9" s="18">
        <f ca="1">IFERROR(VLOOKUP(E9,AanwezigReserve!Y$3:Z$6,2,0),IF(COUNTIF(B$4:B8,B$2)&lt;3,B$2,IF(COUNTIF(B$4:B8,B8)&lt;4,B8,B8+1)))</f>
        <v>4</v>
      </c>
      <c r="C9" s="18" t="str">
        <f ca="1">IF(AND(B$2&lt;=B9,B9&lt;=C$2),4*(B9-1)+COUNTIF(B$5:B9,B9),"")</f>
        <v/>
      </c>
      <c r="D9" s="168"/>
      <c r="E9" s="4" t="str">
        <f>IF(AND(ISNUMBER(AanwezigReserve!F8),AanwezigReserve!F8&gt;=$F$1),AanwezigReserve!D8,"ZZZZ")</f>
        <v>ZZZZ</v>
      </c>
      <c r="F9" s="34" t="str">
        <f>IF(ISERROR(VLOOKUP(E9,AanwezigReserve!D:H,4,0)),"",IF(VLOOKUP(E9,AanwezigReserve!D:H,4,0)="G","Geen",""))</f>
        <v/>
      </c>
      <c r="G9" s="25" t="str">
        <f>IF(ISERROR(VLOOKUP(E9,AanwezigReserve!D:H,4,0)),"",VLOOKUP(E9,AanwezigReserve!D:H,5,0))</f>
        <v/>
      </c>
      <c r="H9" s="54"/>
      <c r="I9"/>
      <c r="J9" s="60">
        <v>1</v>
      </c>
      <c r="K9" s="295" t="str">
        <f t="shared" ref="K9:K22" ca="1" si="0">IF(AND($J9&gt;=$B$2,($J9-1)*4+K$1&lt;=4*$C$2),VLOOKUP(($J9-1)*4+K$1,$C$5:$E$59,3,0),"")</f>
        <v/>
      </c>
      <c r="L9" s="295"/>
      <c r="M9" s="295" t="str">
        <f t="shared" ref="M9:M22" ca="1" si="1">IF(AND($J9&gt;=$B$2,($J9-1)*4+M$1&lt;=4*$C$2),VLOOKUP(($J9-1)*4+M$1,$C$5:$E$59,3,0),"")</f>
        <v/>
      </c>
      <c r="N9" s="295"/>
      <c r="O9" s="100" t="str">
        <f>"T "&amp;J9</f>
        <v>T 1</v>
      </c>
      <c r="P9" s="295" t="str">
        <f t="shared" ref="P9:P22" ca="1" si="2">IF(AND($J9&gt;=$B$2,($J9-1)*4+P$1&lt;=4*$C$2),VLOOKUP(($J9-1)*4+P$1,$C$5:$E$59,3,0),"")</f>
        <v/>
      </c>
      <c r="Q9" s="295"/>
      <c r="R9" s="295" t="str">
        <f t="shared" ref="R9:R22" ca="1" si="3">IF(AND($J9&gt;=$B$2,($J9-1)*4+R$1&lt;=4*$C$2),VLOOKUP(($J9-1)*4+R$1,$C$5:$E$59,3,0),"")</f>
        <v/>
      </c>
      <c r="S9" s="295"/>
      <c r="U9" s="112" t="s">
        <v>137</v>
      </c>
      <c r="V9" s="112" t="s">
        <v>137</v>
      </c>
      <c r="W9" s="112" t="s">
        <v>137</v>
      </c>
      <c r="AA9" s="7"/>
      <c r="AB9" s="20" t="str">
        <f ca="1">R10</f>
        <v/>
      </c>
    </row>
    <row r="10" spans="1:28" ht="20.100000000000001" customHeight="1" thickTop="1" thickBot="1">
      <c r="A10" s="174">
        <f ca="1">IF(LEN(E10)&gt;5,IF(D10="R",9999,IF(ISERROR(MATCH(E10,AanwezigReserve!Y$3:Y$7,0)),TRUNC(10+RAND()*1000),TRUNC(RAND()*10))+IF(AND(F10="Geen",ISERROR(MATCH(E10,AanwezigReserve!Y$3:Y$7,0))),1100+RAND()*200,0)),10000)</f>
        <v>10000</v>
      </c>
      <c r="B10" s="18">
        <f ca="1">IFERROR(VLOOKUP(E10,AanwezigReserve!Y$3:Z$6,2,0),IF(COUNTIF(B$4:B9,B$2)&lt;3,B$2,IF(COUNTIF(B$4:B9,B9)&lt;4,B9,B9+1)))</f>
        <v>4</v>
      </c>
      <c r="C10" s="18" t="str">
        <f ca="1">IF(AND(B$2&lt;=B10,B10&lt;=C$2),4*(B10-1)+COUNTIF(B$5:B10,B10),"")</f>
        <v/>
      </c>
      <c r="D10" s="168"/>
      <c r="E10" s="4" t="str">
        <f>IF(AND(ISNUMBER(AanwezigReserve!F32),AanwezigReserve!F32&gt;=$F$1),AanwezigReserve!D32,"ZZZZ")</f>
        <v>ZZZZ</v>
      </c>
      <c r="F10" s="34" t="str">
        <f>IF(ISERROR(VLOOKUP(E10,AanwezigReserve!D:H,4,0)),"",IF(VLOOKUP(E10,AanwezigReserve!D:H,4,0)="G","Geen",""))</f>
        <v/>
      </c>
      <c r="G10" s="25" t="str">
        <f>IF(ISERROR(VLOOKUP(E10,AanwezigReserve!D:H,4,0)),"",VLOOKUP(E10,AanwezigReserve!D:H,5,0))</f>
        <v/>
      </c>
      <c r="H10" s="52" t="s">
        <v>171</v>
      </c>
      <c r="I10"/>
      <c r="J10" s="60">
        <v>2</v>
      </c>
      <c r="K10" s="295" t="str">
        <f t="shared" ca="1" si="0"/>
        <v/>
      </c>
      <c r="L10" s="295"/>
      <c r="M10" s="295" t="str">
        <f t="shared" ca="1" si="1"/>
        <v/>
      </c>
      <c r="N10" s="295"/>
      <c r="O10" s="100" t="str">
        <f t="shared" ref="O10:O20" si="4">"T "&amp;J10</f>
        <v>T 2</v>
      </c>
      <c r="P10" s="295" t="str">
        <f t="shared" ca="1" si="2"/>
        <v/>
      </c>
      <c r="Q10" s="295"/>
      <c r="R10" s="295" t="str">
        <f t="shared" ca="1" si="3"/>
        <v/>
      </c>
      <c r="S10" s="295"/>
      <c r="U10" s="7" t="s">
        <v>131</v>
      </c>
      <c r="V10" t="s">
        <v>131</v>
      </c>
      <c r="Y10" s="84"/>
      <c r="AA10" s="7">
        <f>AA6+1</f>
        <v>3</v>
      </c>
      <c r="AB10" s="19" t="str">
        <f ca="1">K11</f>
        <v/>
      </c>
    </row>
    <row r="11" spans="1:28" ht="20.100000000000001" customHeight="1" thickTop="1" thickBot="1">
      <c r="A11" s="174">
        <f ca="1">IF(LEN(E11)&gt;5,IF(D11="R",9999,IF(ISERROR(MATCH(E11,AanwezigReserve!Y$3:Y$7,0)),TRUNC(10+RAND()*1000),TRUNC(RAND()*10))+IF(AND(F11="Geen",ISERROR(MATCH(E11,AanwezigReserve!Y$3:Y$7,0))),1100+RAND()*200,0)),10000)</f>
        <v>10000</v>
      </c>
      <c r="B11" s="18">
        <f ca="1">IFERROR(VLOOKUP(E11,AanwezigReserve!Y$3:Z$6,2,0),IF(COUNTIF(B$4:B10,B$2)&lt;3,B$2,IF(COUNTIF(B$4:B10,B10)&lt;4,B10,B10+1)))</f>
        <v>4</v>
      </c>
      <c r="C11" s="18" t="str">
        <f ca="1">IF(AND(B$2&lt;=B11,B11&lt;=C$2),4*(B11-1)+COUNTIF(B$5:B11,B11),"")</f>
        <v/>
      </c>
      <c r="D11" s="168"/>
      <c r="E11" s="4" t="str">
        <f>IF(AND(ISNUMBER(AanwezigReserve!F39),AanwezigReserve!F39&gt;=$F$1),AanwezigReserve!D39,"ZZZZ")</f>
        <v>ZZZZ</v>
      </c>
      <c r="F11" s="34" t="str">
        <f>IF(ISERROR(VLOOKUP(E11,AanwezigReserve!D:H,4,0)),"",IF(VLOOKUP(E11,AanwezigReserve!D:H,4,0)="G","Geen",""))</f>
        <v/>
      </c>
      <c r="G11" s="25" t="str">
        <f>IF(ISERROR(VLOOKUP(E11,AanwezigReserve!D:H,4,0)),"",VLOOKUP(E11,AanwezigReserve!D:H,5,0))</f>
        <v/>
      </c>
      <c r="H11" s="52" t="s">
        <v>172</v>
      </c>
      <c r="I11"/>
      <c r="J11" s="60">
        <v>3</v>
      </c>
      <c r="K11" s="295" t="str">
        <f t="shared" ca="1" si="0"/>
        <v/>
      </c>
      <c r="L11" s="295"/>
      <c r="M11" s="295" t="str">
        <f t="shared" ca="1" si="1"/>
        <v/>
      </c>
      <c r="N11" s="295"/>
      <c r="O11" s="100" t="str">
        <f t="shared" si="4"/>
        <v>T 3</v>
      </c>
      <c r="P11" s="295" t="str">
        <f t="shared" ca="1" si="2"/>
        <v/>
      </c>
      <c r="Q11" s="295"/>
      <c r="R11" s="295" t="str">
        <f t="shared" ca="1" si="3"/>
        <v/>
      </c>
      <c r="S11" s="295"/>
      <c r="U11" s="115" t="s">
        <v>131</v>
      </c>
      <c r="V11" s="116" t="s">
        <v>131</v>
      </c>
      <c r="W11" s="116" t="s">
        <v>131</v>
      </c>
      <c r="X11" s="117"/>
      <c r="AB11" s="20" t="str">
        <f ca="1">M11</f>
        <v/>
      </c>
    </row>
    <row r="12" spans="1:28" ht="20.100000000000001" customHeight="1" thickTop="1" thickBot="1">
      <c r="A12" s="174">
        <f ca="1">IF(LEN(E12)&gt;5,IF(D12="R",9999,IF(ISERROR(MATCH(E12,AanwezigReserve!Y$3:Y$7,0)),TRUNC(10+RAND()*1000),TRUNC(RAND()*10))+IF(AND(F12="Geen",ISERROR(MATCH(E12,AanwezigReserve!Y$3:Y$7,0))),1100+RAND()*200,0)),10000)</f>
        <v>10000</v>
      </c>
      <c r="B12" s="18">
        <f ca="1">IFERROR(VLOOKUP(E12,AanwezigReserve!Y$3:Z$6,2,0),IF(COUNTIF(B$4:B11,B$2)&lt;3,B$2,IF(COUNTIF(B$4:B11,B11)&lt;4,B11,B11+1)))</f>
        <v>4</v>
      </c>
      <c r="C12" s="18" t="str">
        <f ca="1">IF(AND(B$2&lt;=B12,B12&lt;=C$2),4*(B12-1)+COUNTIF(B$5:B12,B12),"")</f>
        <v/>
      </c>
      <c r="D12" s="168"/>
      <c r="E12" s="4" t="str">
        <f>IF(AND(ISNUMBER(AanwezigReserve!F37),AanwezigReserve!F37&gt;=$F$1),AanwezigReserve!D37,"ZZZZ")</f>
        <v>ZZZZ</v>
      </c>
      <c r="F12" s="34" t="str">
        <f>IF(ISERROR(VLOOKUP(E12,AanwezigReserve!D:H,4,0)),"",IF(VLOOKUP(E12,AanwezigReserve!D:H,4,0)="G","Geen",""))</f>
        <v/>
      </c>
      <c r="G12" s="25" t="str">
        <f>IF(ISERROR(VLOOKUP(E12,AanwezigReserve!D:H,4,0)),"",VLOOKUP(E12,AanwezigReserve!D:H,5,0))</f>
        <v/>
      </c>
      <c r="H12" s="53"/>
      <c r="I12"/>
      <c r="J12" s="60">
        <v>4</v>
      </c>
      <c r="K12" s="295" t="str">
        <f t="shared" ca="1" si="0"/>
        <v/>
      </c>
      <c r="L12" s="295"/>
      <c r="M12" s="295" t="str">
        <f t="shared" ca="1" si="1"/>
        <v/>
      </c>
      <c r="N12" s="295"/>
      <c r="O12" s="100" t="str">
        <f t="shared" si="4"/>
        <v>T 4</v>
      </c>
      <c r="P12" s="295" t="str">
        <f t="shared" ca="1" si="2"/>
        <v/>
      </c>
      <c r="Q12" s="295"/>
      <c r="R12" s="295" t="str">
        <f t="shared" ca="1" si="3"/>
        <v/>
      </c>
      <c r="S12" s="295"/>
      <c r="U12" s="118" t="s">
        <v>63</v>
      </c>
      <c r="W12" s="7"/>
      <c r="X12" s="119"/>
      <c r="Y12" s="84"/>
      <c r="AB12" s="20" t="str">
        <f ca="1">P11</f>
        <v/>
      </c>
    </row>
    <row r="13" spans="1:28" ht="20.100000000000001" customHeight="1" thickTop="1" thickBot="1">
      <c r="A13" s="174">
        <f ca="1">IF(LEN(E13)&gt;5,IF(D13="R",9999,IF(ISERROR(MATCH(E13,AanwezigReserve!Y$3:Y$7,0)),TRUNC(10+RAND()*1000),TRUNC(RAND()*10))+IF(AND(F13="Geen",ISERROR(MATCH(E13,AanwezigReserve!Y$3:Y$7,0))),1100+RAND()*200,0)),10000)</f>
        <v>10000</v>
      </c>
      <c r="B13" s="18">
        <f ca="1">IFERROR(VLOOKUP(E13,AanwezigReserve!Y$3:Z$6,2,0),IF(COUNTIF(B$4:B12,B$2)&lt;3,B$2,IF(COUNTIF(B$4:B12,B12)&lt;4,B12,B12+1)))</f>
        <v>5</v>
      </c>
      <c r="C13" s="18" t="str">
        <f ca="1">IF(AND(B$2&lt;=B13,B13&lt;=C$2),4*(B13-1)+COUNTIF(B$5:B13,B13),"")</f>
        <v/>
      </c>
      <c r="D13" s="168"/>
      <c r="E13" s="4" t="str">
        <f>IF(AND(ISNUMBER(AanwezigReserve!F5),AanwezigReserve!F5&gt;=$F$1),AanwezigReserve!D5,"ZZZZ")</f>
        <v>ZZZZ</v>
      </c>
      <c r="F13" s="34" t="str">
        <f>IF(ISERROR(VLOOKUP(E13,AanwezigReserve!D:H,4,0)),"",IF(VLOOKUP(E13,AanwezigReserve!D:H,4,0)="G","Geen",""))</f>
        <v/>
      </c>
      <c r="G13" s="25" t="str">
        <f>IF(ISERROR(VLOOKUP(E13,AanwezigReserve!D:H,4,0)),"",VLOOKUP(E13,AanwezigReserve!D:H,5,0))</f>
        <v/>
      </c>
      <c r="H13" s="134"/>
      <c r="I13"/>
      <c r="J13" s="60">
        <v>5</v>
      </c>
      <c r="K13" s="295" t="str">
        <f t="shared" ca="1" si="0"/>
        <v/>
      </c>
      <c r="L13" s="295"/>
      <c r="M13" s="295" t="str">
        <f t="shared" ca="1" si="1"/>
        <v/>
      </c>
      <c r="N13" s="295"/>
      <c r="O13" s="100" t="str">
        <f t="shared" si="4"/>
        <v>T 5</v>
      </c>
      <c r="P13" s="295" t="str">
        <f t="shared" ca="1" si="2"/>
        <v/>
      </c>
      <c r="Q13" s="295"/>
      <c r="R13" s="295" t="str">
        <f t="shared" ca="1" si="3"/>
        <v/>
      </c>
      <c r="S13" s="295"/>
      <c r="U13" s="118" t="s">
        <v>62</v>
      </c>
      <c r="W13" s="7"/>
      <c r="X13" s="119"/>
      <c r="Y13" s="84"/>
      <c r="AA13" s="7"/>
      <c r="AB13" s="20" t="str">
        <f ca="1">R11</f>
        <v/>
      </c>
    </row>
    <row r="14" spans="1:28" ht="20.100000000000001" customHeight="1" thickTop="1" thickBot="1">
      <c r="A14" s="174">
        <f ca="1">IF(LEN(E14)&gt;5,IF(D14="R",9999,IF(ISERROR(MATCH(E14,AanwezigReserve!Y$3:Y$7,0)),TRUNC(10+RAND()*1000),TRUNC(RAND()*10))+IF(AND(F14="Geen",ISERROR(MATCH(E14,AanwezigReserve!Y$3:Y$7,0))),1100+RAND()*200,0)),10000)</f>
        <v>10000</v>
      </c>
      <c r="B14" s="18">
        <f ca="1">IFERROR(VLOOKUP(E14,AanwezigReserve!Y$3:Z$6,2,0),IF(COUNTIF(B$4:B13,B$2)&lt;3,B$2,IF(COUNTIF(B$4:B13,B13)&lt;4,B13,B13+1)))</f>
        <v>5</v>
      </c>
      <c r="C14" s="18" t="str">
        <f ca="1">IF(AND(B$2&lt;=B14,B14&lt;=C$2),4*(B14-1)+COUNTIF(B$5:B14,B14),"")</f>
        <v/>
      </c>
      <c r="D14" s="168"/>
      <c r="E14" s="4" t="str">
        <f>IF(AND(ISNUMBER(AanwezigReserve!F27),AanwezigReserve!F27&gt;=$F$1),AanwezigReserve!D27,"ZZZZ")</f>
        <v>ZZZZ</v>
      </c>
      <c r="F14" s="34" t="str">
        <f>IF(ISERROR(VLOOKUP(E14,AanwezigReserve!D:H,4,0)),"",IF(VLOOKUP(E14,AanwezigReserve!D:H,4,0)="G","Geen",""))</f>
        <v/>
      </c>
      <c r="G14" s="25" t="str">
        <f>IF(ISERROR(VLOOKUP(E14,AanwezigReserve!D:H,4,0)),"",VLOOKUP(E14,AanwezigReserve!D:H,5,0))</f>
        <v/>
      </c>
      <c r="H14" s="135"/>
      <c r="I14"/>
      <c r="J14" s="60">
        <v>6</v>
      </c>
      <c r="K14" s="295" t="str">
        <f t="shared" ca="1" si="0"/>
        <v/>
      </c>
      <c r="L14" s="295"/>
      <c r="M14" s="295" t="str">
        <f t="shared" ca="1" si="1"/>
        <v/>
      </c>
      <c r="N14" s="295"/>
      <c r="O14" s="100" t="str">
        <f t="shared" si="4"/>
        <v>T 6</v>
      </c>
      <c r="P14" s="295" t="str">
        <f t="shared" ca="1" si="2"/>
        <v/>
      </c>
      <c r="Q14" s="295"/>
      <c r="R14" s="295" t="str">
        <f t="shared" ca="1" si="3"/>
        <v/>
      </c>
      <c r="S14" s="295"/>
      <c r="U14" s="120" t="s">
        <v>129</v>
      </c>
      <c r="V14" s="121"/>
      <c r="W14" s="121"/>
      <c r="X14" s="122"/>
      <c r="Y14" s="84"/>
      <c r="AA14" s="7">
        <f>AA10+1</f>
        <v>4</v>
      </c>
      <c r="AB14" s="19" t="str">
        <f ca="1">K12</f>
        <v/>
      </c>
    </row>
    <row r="15" spans="1:28" ht="20.100000000000001" customHeight="1" thickTop="1" thickBot="1">
      <c r="A15" s="174">
        <f ca="1">IF(LEN(E15)&gt;5,IF(D15="R",9999,IF(ISERROR(MATCH(E15,AanwezigReserve!Y$3:Y$7,0)),TRUNC(10+RAND()*1000),TRUNC(RAND()*10))+IF(AND(F15="Geen",ISERROR(MATCH(E15,AanwezigReserve!Y$3:Y$7,0))),1100+RAND()*200,0)),10000)</f>
        <v>10000</v>
      </c>
      <c r="B15" s="18">
        <f ca="1">IFERROR(VLOOKUP(E15,AanwezigReserve!Y$3:Z$6,2,0),IF(COUNTIF(B$4:B14,B$2)&lt;3,B$2,IF(COUNTIF(B$4:B14,B14)&lt;4,B14,B14+1)))</f>
        <v>5</v>
      </c>
      <c r="C15" s="18" t="str">
        <f ca="1">IF(AND(B$2&lt;=B15,B15&lt;=C$2),4*(B15-1)+COUNTIF(B$5:B15,B15),"")</f>
        <v/>
      </c>
      <c r="D15" s="168"/>
      <c r="E15" s="4" t="str">
        <f>IF(AND(ISNUMBER(AanwezigReserve!F43),AanwezigReserve!F43&gt;=$F$1),AanwezigReserve!D43,"ZZZZ")</f>
        <v>ZZZZ</v>
      </c>
      <c r="F15" s="34" t="str">
        <f>IF(ISERROR(VLOOKUP(E15,AanwezigReserve!D:H,4,0)),"",IF(VLOOKUP(E15,AanwezigReserve!D:H,4,0)="G","Geen",""))</f>
        <v/>
      </c>
      <c r="G15" s="25" t="str">
        <f>IF(ISERROR(VLOOKUP(E15,AanwezigReserve!D:H,4,0)),"",VLOOKUP(E15,AanwezigReserve!D:H,5,0))</f>
        <v/>
      </c>
      <c r="H15" s="135"/>
      <c r="I15"/>
      <c r="J15" s="60">
        <v>7</v>
      </c>
      <c r="K15" s="295" t="str">
        <f t="shared" ca="1" si="0"/>
        <v/>
      </c>
      <c r="L15" s="295"/>
      <c r="M15" s="295" t="str">
        <f t="shared" ca="1" si="1"/>
        <v/>
      </c>
      <c r="N15" s="295"/>
      <c r="O15" s="100" t="str">
        <f t="shared" si="4"/>
        <v>T 7</v>
      </c>
      <c r="P15" s="295" t="str">
        <f t="shared" ca="1" si="2"/>
        <v/>
      </c>
      <c r="Q15" s="295"/>
      <c r="R15" s="295" t="str">
        <f t="shared" ca="1" si="3"/>
        <v/>
      </c>
      <c r="S15" s="295"/>
      <c r="V15" s="85"/>
      <c r="W15" s="84"/>
      <c r="X15" s="84"/>
      <c r="Y15" s="84"/>
      <c r="AB15" s="20" t="str">
        <f ca="1">M12</f>
        <v/>
      </c>
    </row>
    <row r="16" spans="1:28" ht="20.100000000000001" customHeight="1" thickTop="1" thickBot="1">
      <c r="A16" s="174">
        <f ca="1">IF(LEN(E16)&gt;5,IF(D16="R",9999,IF(ISERROR(MATCH(E16,AanwezigReserve!Y$3:Y$7,0)),TRUNC(10+RAND()*1000),TRUNC(RAND()*10))+IF(AND(F16="Geen",ISERROR(MATCH(E16,AanwezigReserve!Y$3:Y$7,0))),1100+RAND()*200,0)),10000)</f>
        <v>10000</v>
      </c>
      <c r="B16" s="18">
        <f ca="1">IFERROR(VLOOKUP(E16,AanwezigReserve!Y$3:Z$6,2,0),IF(COUNTIF(B$4:B15,B$2)&lt;3,B$2,IF(COUNTIF(B$4:B15,B15)&lt;4,B15,B15+1)))</f>
        <v>5</v>
      </c>
      <c r="C16" s="18" t="str">
        <f ca="1">IF(AND(B$2&lt;=B16,B16&lt;=C$2),4*(B16-1)+COUNTIF(B$5:B16,B16),"")</f>
        <v/>
      </c>
      <c r="D16" s="168"/>
      <c r="E16" s="4" t="str">
        <f>IF(AND(ISNUMBER(AanwezigReserve!F25),AanwezigReserve!F25&gt;=$F$1),AanwezigReserve!D25,"ZZZZ")</f>
        <v>ZZZZ</v>
      </c>
      <c r="F16" s="34" t="str">
        <f>IF(ISERROR(VLOOKUP(E16,AanwezigReserve!D:H,4,0)),"",IF(VLOOKUP(E16,AanwezigReserve!D:H,4,0)="G","Geen",""))</f>
        <v/>
      </c>
      <c r="G16" s="25" t="str">
        <f>IF(ISERROR(VLOOKUP(E16,AanwezigReserve!D:H,4,0)),"",VLOOKUP(E16,AanwezigReserve!D:H,5,0))</f>
        <v/>
      </c>
      <c r="H16" s="136"/>
      <c r="I16"/>
      <c r="J16" s="60">
        <v>8</v>
      </c>
      <c r="K16" s="295" t="str">
        <f t="shared" ca="1" si="0"/>
        <v/>
      </c>
      <c r="L16" s="295"/>
      <c r="M16" s="295" t="str">
        <f t="shared" ca="1" si="1"/>
        <v/>
      </c>
      <c r="N16" s="295"/>
      <c r="O16" s="100" t="str">
        <f t="shared" si="4"/>
        <v>T 8</v>
      </c>
      <c r="P16" s="295" t="str">
        <f t="shared" ca="1" si="2"/>
        <v/>
      </c>
      <c r="Q16" s="295"/>
      <c r="R16" s="295" t="str">
        <f t="shared" ca="1" si="3"/>
        <v/>
      </c>
      <c r="S16" s="295"/>
      <c r="U16" s="114"/>
      <c r="W16" s="84"/>
      <c r="X16" s="84"/>
      <c r="Y16" s="84"/>
      <c r="AB16" s="20" t="str">
        <f ca="1">P12</f>
        <v/>
      </c>
    </row>
    <row r="17" spans="1:28" ht="20.100000000000001" customHeight="1" thickTop="1" thickBot="1">
      <c r="A17" s="174">
        <f ca="1">IF(LEN(E17)&gt;5,IF(D17="R",9999,IF(ISERROR(MATCH(E17,AanwezigReserve!Y$3:Y$7,0)),TRUNC(10+RAND()*1000),TRUNC(RAND()*10))+IF(AND(F17="Geen",ISERROR(MATCH(E17,AanwezigReserve!Y$3:Y$7,0))),1100+RAND()*200,0)),10000)</f>
        <v>10000</v>
      </c>
      <c r="B17" s="18">
        <f ca="1">IFERROR(VLOOKUP(E17,AanwezigReserve!Y$3:Z$6,2,0),IF(COUNTIF(B$4:B16,B$2)&lt;3,B$2,IF(COUNTIF(B$4:B16,B16)&lt;4,B16,B16+1)))</f>
        <v>6</v>
      </c>
      <c r="C17" s="18" t="str">
        <f ca="1">IF(AND(B$2&lt;=B17,B17&lt;=C$2),4*(B17-1)+COUNTIF(B$5:B17,B17),"")</f>
        <v/>
      </c>
      <c r="D17" s="168"/>
      <c r="E17" s="4" t="str">
        <f>IF(AND(ISNUMBER(AanwezigReserve!F9),AanwezigReserve!F9&gt;=$F$1),AanwezigReserve!D9,"ZZZZ")</f>
        <v>ZZZZ</v>
      </c>
      <c r="F17" s="34" t="str">
        <f>IF(ISERROR(VLOOKUP(E17,AanwezigReserve!D:H,4,0)),"",IF(VLOOKUP(E17,AanwezigReserve!D:H,4,0)="G","Geen",""))</f>
        <v/>
      </c>
      <c r="G17" s="25" t="str">
        <f>IF(ISERROR(VLOOKUP(E17,AanwezigReserve!D:H,4,0)),"",VLOOKUP(E17,AanwezigReserve!D:H,5,0))</f>
        <v/>
      </c>
      <c r="H17" s="135"/>
      <c r="I17"/>
      <c r="J17" s="60">
        <v>9</v>
      </c>
      <c r="K17" s="295" t="str">
        <f t="shared" ca="1" si="0"/>
        <v/>
      </c>
      <c r="L17" s="295"/>
      <c r="M17" s="295" t="str">
        <f t="shared" ca="1" si="1"/>
        <v/>
      </c>
      <c r="N17" s="295"/>
      <c r="O17" s="100" t="str">
        <f t="shared" si="4"/>
        <v>T 9</v>
      </c>
      <c r="P17" s="295" t="str">
        <f t="shared" ca="1" si="2"/>
        <v/>
      </c>
      <c r="Q17" s="295"/>
      <c r="R17" s="295" t="str">
        <f t="shared" ca="1" si="3"/>
        <v/>
      </c>
      <c r="S17" s="295"/>
      <c r="U17" s="114"/>
      <c r="W17" s="84"/>
      <c r="X17" s="84"/>
      <c r="Y17" s="84"/>
      <c r="AA17" s="7"/>
      <c r="AB17" s="20" t="str">
        <f ca="1">R12</f>
        <v/>
      </c>
    </row>
    <row r="18" spans="1:28" ht="20.100000000000001" customHeight="1" thickTop="1" thickBot="1">
      <c r="A18" s="174">
        <f ca="1">IF(LEN(E18)&gt;5,IF(D18="R",9999,IF(ISERROR(MATCH(E18,AanwezigReserve!Y$3:Y$7,0)),TRUNC(10+RAND()*1000),TRUNC(RAND()*10))+IF(AND(F18="Geen",ISERROR(MATCH(E18,AanwezigReserve!Y$3:Y$7,0))),1100+RAND()*200,0)),10000)</f>
        <v>10000</v>
      </c>
      <c r="B18" s="18">
        <f ca="1">IFERROR(VLOOKUP(E18,AanwezigReserve!Y$3:Z$6,2,0),IF(COUNTIF(B$4:B17,B$2)&lt;3,B$2,IF(COUNTIF(B$4:B17,B17)&lt;4,B17,B17+1)))</f>
        <v>6</v>
      </c>
      <c r="C18" s="18" t="str">
        <f ca="1">IF(AND(B$2&lt;=B18,B18&lt;=C$2),4*(B18-1)+COUNTIF(B$5:B18,B18),"")</f>
        <v/>
      </c>
      <c r="D18" s="168"/>
      <c r="E18" s="4" t="str">
        <f>IF(AND(ISNUMBER(AanwezigReserve!F23),AanwezigReserve!F23&gt;=$F$1),AanwezigReserve!D23,"ZZZZ")</f>
        <v>ZZZZ</v>
      </c>
      <c r="F18" s="34" t="str">
        <f>IF(ISERROR(VLOOKUP(E18,AanwezigReserve!D:H,4,0)),"",IF(VLOOKUP(E18,AanwezigReserve!D:H,4,0)="G","Geen",""))</f>
        <v/>
      </c>
      <c r="G18" s="25" t="str">
        <f>IF(ISERROR(VLOOKUP(E18,AanwezigReserve!D:H,4,0)),"",VLOOKUP(E18,AanwezigReserve!D:H,5,0))</f>
        <v/>
      </c>
      <c r="H18" s="135"/>
      <c r="I18"/>
      <c r="J18" s="60">
        <v>10</v>
      </c>
      <c r="K18" s="295" t="str">
        <f t="shared" ca="1" si="0"/>
        <v/>
      </c>
      <c r="L18" s="295"/>
      <c r="M18" s="295" t="str">
        <f t="shared" ca="1" si="1"/>
        <v/>
      </c>
      <c r="N18" s="295"/>
      <c r="O18" s="100" t="str">
        <f t="shared" si="4"/>
        <v>T 10</v>
      </c>
      <c r="P18" s="295" t="str">
        <f t="shared" ca="1" si="2"/>
        <v/>
      </c>
      <c r="Q18" s="295"/>
      <c r="R18" s="295" t="str">
        <f t="shared" ca="1" si="3"/>
        <v/>
      </c>
      <c r="S18" s="295"/>
      <c r="U18" s="114"/>
      <c r="W18" s="84"/>
      <c r="X18" s="84"/>
      <c r="Y18" s="84"/>
      <c r="AA18" s="7">
        <f>AA14+1</f>
        <v>5</v>
      </c>
      <c r="AB18" s="19" t="str">
        <f ca="1">K13</f>
        <v/>
      </c>
    </row>
    <row r="19" spans="1:28" ht="20.100000000000001" customHeight="1" thickTop="1" thickBot="1">
      <c r="A19" s="174">
        <f ca="1">IF(LEN(E19)&gt;5,IF(D19="R",9999,IF(ISERROR(MATCH(E19,AanwezigReserve!Y$3:Y$7,0)),TRUNC(10+RAND()*1000),TRUNC(RAND()*10))+IF(AND(F19="Geen",ISERROR(MATCH(E19,AanwezigReserve!Y$3:Y$7,0))),1100+RAND()*200,0)),10000)</f>
        <v>10000</v>
      </c>
      <c r="B19" s="18">
        <f ca="1">IFERROR(VLOOKUP(E19,AanwezigReserve!Y$3:Z$6,2,0),IF(COUNTIF(B$4:B18,B$2)&lt;3,B$2,IF(COUNTIF(B$4:B18,B18)&lt;4,B18,B18+1)))</f>
        <v>6</v>
      </c>
      <c r="C19" s="18" t="str">
        <f ca="1">IF(AND(B$2&lt;=B19,B19&lt;=C$2),4*(B19-1)+COUNTIF(B$5:B19,B19),"")</f>
        <v/>
      </c>
      <c r="D19" s="168"/>
      <c r="E19" s="4" t="str">
        <f>IF(AND(ISNUMBER(AanwezigReserve!F4),AanwezigReserve!F4&gt;=$F$1),AanwezigReserve!D4,"ZZZZ")</f>
        <v>ZZZZ</v>
      </c>
      <c r="F19" s="34" t="str">
        <f>IF(ISERROR(VLOOKUP(E19,AanwezigReserve!D:H,4,0)),"",IF(VLOOKUP(E19,AanwezigReserve!D:H,4,0)="G","Geen",""))</f>
        <v/>
      </c>
      <c r="G19" s="25" t="str">
        <f>IF(ISERROR(VLOOKUP(E19,AanwezigReserve!D:H,4,0)),"",VLOOKUP(E19,AanwezigReserve!D:H,5,0))</f>
        <v/>
      </c>
      <c r="H19" s="136"/>
      <c r="I19"/>
      <c r="J19" s="60">
        <v>11</v>
      </c>
      <c r="K19" s="295" t="str">
        <f t="shared" ca="1" si="0"/>
        <v/>
      </c>
      <c r="L19" s="295"/>
      <c r="M19" s="295" t="str">
        <f t="shared" ca="1" si="1"/>
        <v/>
      </c>
      <c r="N19" s="295"/>
      <c r="O19" s="100" t="str">
        <f t="shared" si="4"/>
        <v>T 11</v>
      </c>
      <c r="P19" s="295" t="str">
        <f t="shared" ca="1" si="2"/>
        <v/>
      </c>
      <c r="Q19" s="295"/>
      <c r="R19" s="295" t="str">
        <f t="shared" ca="1" si="3"/>
        <v/>
      </c>
      <c r="S19" s="295"/>
      <c r="U19" s="114"/>
      <c r="W19" s="84"/>
      <c r="X19" s="84"/>
      <c r="Y19" s="84"/>
      <c r="AB19" s="20" t="str">
        <f ca="1">M13</f>
        <v/>
      </c>
    </row>
    <row r="20" spans="1:28" ht="17.25" customHeight="1" thickTop="1" thickBot="1">
      <c r="A20" s="174">
        <f ca="1">IF(LEN(E20)&gt;5,IF(D20="R",9999,IF(ISERROR(MATCH(E20,AanwezigReserve!Y$3:Y$7,0)),TRUNC(10+RAND()*1000),TRUNC(RAND()*10))+IF(AND(F20="Geen",ISERROR(MATCH(E20,AanwezigReserve!Y$3:Y$7,0))),1100+RAND()*200,0)),10000)</f>
        <v>10000</v>
      </c>
      <c r="B20" s="18">
        <f ca="1">IFERROR(VLOOKUP(E20,AanwezigReserve!Y$3:Z$6,2,0),IF(COUNTIF(B$4:B19,B$2)&lt;3,B$2,IF(COUNTIF(B$4:B19,B19)&lt;4,B19,B19+1)))</f>
        <v>6</v>
      </c>
      <c r="C20" s="18" t="str">
        <f ca="1">IF(AND(B$2&lt;=B20,B20&lt;=C$2),4*(B20-1)+COUNTIF(B$5:B20,B20),"")</f>
        <v/>
      </c>
      <c r="D20" s="168"/>
      <c r="E20" s="4" t="str">
        <f>IF(AND(ISNUMBER(AanwezigReserve!F21),AanwezigReserve!F21&gt;=$F$1),AanwezigReserve!D21,"ZZZZ")</f>
        <v>ZZZZ</v>
      </c>
      <c r="F20" s="34" t="str">
        <f>IF(ISERROR(VLOOKUP(E20,AanwezigReserve!D:H,4,0)),"",IF(VLOOKUP(E20,AanwezigReserve!D:H,4,0)="G","Geen",""))</f>
        <v/>
      </c>
      <c r="G20" s="25" t="str">
        <f>IF(ISERROR(VLOOKUP(E20,AanwezigReserve!D:H,4,0)),"",VLOOKUP(E20,AanwezigReserve!D:H,5,0))</f>
        <v/>
      </c>
      <c r="H20" s="135"/>
      <c r="I20"/>
      <c r="J20" s="60">
        <v>12</v>
      </c>
      <c r="K20" s="295" t="str">
        <f t="shared" ca="1" si="0"/>
        <v/>
      </c>
      <c r="L20" s="295"/>
      <c r="M20" s="295" t="str">
        <f t="shared" ca="1" si="1"/>
        <v/>
      </c>
      <c r="N20" s="295"/>
      <c r="O20" s="100" t="str">
        <f t="shared" si="4"/>
        <v>T 12</v>
      </c>
      <c r="P20" s="295" t="str">
        <f t="shared" ca="1" si="2"/>
        <v/>
      </c>
      <c r="Q20" s="295"/>
      <c r="R20" s="295" t="str">
        <f t="shared" ca="1" si="3"/>
        <v/>
      </c>
      <c r="S20" s="295"/>
      <c r="U20" s="114"/>
      <c r="V20" s="114"/>
      <c r="W20" s="84"/>
      <c r="X20" s="84"/>
      <c r="Y20" s="84"/>
      <c r="AB20" s="20" t="str">
        <f ca="1">P13</f>
        <v/>
      </c>
    </row>
    <row r="21" spans="1:28" ht="19.5" thickTop="1" thickBot="1">
      <c r="A21" s="174">
        <f ca="1">IF(LEN(E21)&gt;5,IF(D21="R",9999,IF(ISERROR(MATCH(E21,AanwezigReserve!Y$3:Y$7,0)),TRUNC(10+RAND()*1000),TRUNC(RAND()*10))+IF(AND(F21="Geen",ISERROR(MATCH(E21,AanwezigReserve!Y$3:Y$7,0))),1100+RAND()*200,0)),10000)</f>
        <v>10000</v>
      </c>
      <c r="B21" s="18">
        <f ca="1">IFERROR(VLOOKUP(E21,AanwezigReserve!Y$3:Z$6,2,0),IF(COUNTIF(B$4:B20,B$2)&lt;3,B$2,IF(COUNTIF(B$4:B20,B20)&lt;4,B20,B20+1)))</f>
        <v>7</v>
      </c>
      <c r="C21" s="18" t="str">
        <f ca="1">IF(AND(B$2&lt;=B21,B21&lt;=C$2),4*(B21-1)+COUNTIF(B$5:B21,B21),"")</f>
        <v/>
      </c>
      <c r="D21" s="168"/>
      <c r="E21" s="4" t="str">
        <f>IF(AND(ISNUMBER(AanwezigReserve!F16),AanwezigReserve!F16&gt;=$F$1),AanwezigReserve!D16,"ZZZZ")</f>
        <v>ZZZZ</v>
      </c>
      <c r="F21" s="34" t="str">
        <f>IF(ISERROR(VLOOKUP(E21,AanwezigReserve!D:H,4,0)),"",IF(VLOOKUP(E21,AanwezigReserve!D:H,4,0)="G","Geen",""))</f>
        <v/>
      </c>
      <c r="G21" s="25" t="str">
        <f>IF(ISERROR(VLOOKUP(E21,AanwezigReserve!D:H,4,0)),"",VLOOKUP(E21,AanwezigReserve!D:H,5,0))</f>
        <v/>
      </c>
      <c r="H21" s="135"/>
      <c r="I21"/>
      <c r="J21" s="60">
        <v>13</v>
      </c>
      <c r="K21" s="295" t="str">
        <f t="shared" ca="1" si="0"/>
        <v/>
      </c>
      <c r="L21" s="295"/>
      <c r="M21" s="295" t="str">
        <f t="shared" ca="1" si="1"/>
        <v/>
      </c>
      <c r="N21" s="295"/>
      <c r="O21" s="100" t="str">
        <f>"T "&amp;J21</f>
        <v>T 13</v>
      </c>
      <c r="P21" s="295" t="str">
        <f t="shared" ca="1" si="2"/>
        <v/>
      </c>
      <c r="Q21" s="295"/>
      <c r="R21" s="295" t="str">
        <f t="shared" ca="1" si="3"/>
        <v/>
      </c>
      <c r="S21" s="295"/>
      <c r="U21" s="114"/>
      <c r="W21" s="84"/>
      <c r="X21" s="84"/>
      <c r="Y21" s="84"/>
      <c r="AA21" s="7"/>
      <c r="AB21" s="20" t="str">
        <f ca="1">R13</f>
        <v/>
      </c>
    </row>
    <row r="22" spans="1:28" ht="19.5" thickTop="1" thickBot="1">
      <c r="A22" s="174">
        <f ca="1">IF(LEN(E22)&gt;5,IF(D22="R",9999,IF(ISERROR(MATCH(E22,AanwezigReserve!Y$3:Y$7,0)),TRUNC(10+RAND()*1000),TRUNC(RAND()*10))+IF(AND(F22="Geen",ISERROR(MATCH(E22,AanwezigReserve!Y$3:Y$7,0))),1100+RAND()*200,0)),10000)</f>
        <v>10000</v>
      </c>
      <c r="B22" s="18">
        <f ca="1">IFERROR(VLOOKUP(E22,AanwezigReserve!Y$3:Z$6,2,0),IF(COUNTIF(B$4:B21,B$2)&lt;3,B$2,IF(COUNTIF(B$4:B21,B21)&lt;4,B21,B21+1)))</f>
        <v>7</v>
      </c>
      <c r="C22" s="18" t="str">
        <f ca="1">IF(AND(B$2&lt;=B22,B22&lt;=C$2),4*(B22-1)+COUNTIF(B$5:B22,B22),"")</f>
        <v/>
      </c>
      <c r="D22" s="168"/>
      <c r="E22" s="4" t="str">
        <f>IF(AND(ISNUMBER(AanwezigReserve!F19),AanwezigReserve!F19&gt;=$F$1),AanwezigReserve!D19,"ZZZZ")</f>
        <v>ZZZZ</v>
      </c>
      <c r="F22" s="34" t="str">
        <f>IF(ISERROR(VLOOKUP(E22,AanwezigReserve!D:H,4,0)),"",IF(VLOOKUP(E22,AanwezigReserve!D:H,4,0)="G","Geen",""))</f>
        <v/>
      </c>
      <c r="G22" s="25" t="str">
        <f>IF(ISERROR(VLOOKUP(E22,AanwezigReserve!D:H,4,0)),"",VLOOKUP(E22,AanwezigReserve!D:H,5,0))</f>
        <v/>
      </c>
      <c r="H22" s="136"/>
      <c r="I22"/>
      <c r="J22" s="60">
        <v>14</v>
      </c>
      <c r="K22" s="295" t="str">
        <f t="shared" ca="1" si="0"/>
        <v/>
      </c>
      <c r="L22" s="295"/>
      <c r="M22" s="295" t="str">
        <f t="shared" ca="1" si="1"/>
        <v/>
      </c>
      <c r="N22" s="295"/>
      <c r="O22" s="100" t="str">
        <f>"T "&amp;J22</f>
        <v>T 14</v>
      </c>
      <c r="P22" s="295" t="str">
        <f t="shared" ca="1" si="2"/>
        <v/>
      </c>
      <c r="Q22" s="295"/>
      <c r="R22" s="295" t="str">
        <f t="shared" ca="1" si="3"/>
        <v/>
      </c>
      <c r="S22" s="295"/>
      <c r="W22" s="84"/>
      <c r="X22" s="84"/>
      <c r="Y22" s="84"/>
      <c r="AA22" s="7">
        <f>AA18+1</f>
        <v>6</v>
      </c>
      <c r="AB22" s="19" t="str">
        <f ca="1">K14</f>
        <v/>
      </c>
    </row>
    <row r="23" spans="1:28" ht="19.5" thickTop="1" thickBot="1">
      <c r="A23" s="174">
        <f ca="1">IF(LEN(E23)&gt;5,IF(D23="R",9999,IF(ISERROR(MATCH(E23,AanwezigReserve!Y$3:Y$7,0)),TRUNC(10+RAND()*1000),TRUNC(RAND()*10))+IF(AND(F23="Geen",ISERROR(MATCH(E23,AanwezigReserve!Y$3:Y$7,0))),1100+RAND()*200,0)),10000)</f>
        <v>10000</v>
      </c>
      <c r="B23" s="18">
        <f ca="1">IFERROR(VLOOKUP(E23,AanwezigReserve!Y$3:Z$6,2,0),IF(COUNTIF(B$4:B22,B$2)&lt;3,B$2,IF(COUNTIF(B$4:B22,B22)&lt;4,B22,B22+1)))</f>
        <v>7</v>
      </c>
      <c r="C23" s="18" t="str">
        <f ca="1">IF(AND(B$2&lt;=B23,B23&lt;=C$2),4*(B23-1)+COUNTIF(B$5:B23,B23),"")</f>
        <v/>
      </c>
      <c r="D23" s="168"/>
      <c r="E23" s="4" t="str">
        <f>IF(AND(ISNUMBER(AanwezigReserve!F44),AanwezigReserve!F44&gt;=$F$1),AanwezigReserve!D44,"ZZZZ")</f>
        <v>ZZZZ</v>
      </c>
      <c r="F23" s="34" t="str">
        <f>IF(ISERROR(VLOOKUP(E23,AanwezigReserve!D:H,4,0)),"",IF(VLOOKUP(E23,AanwezigReserve!D:H,4,0)="G","Geen",""))</f>
        <v/>
      </c>
      <c r="G23" s="25" t="str">
        <f>IF(ISERROR(VLOOKUP(E23,AanwezigReserve!D:H,4,0)),"",VLOOKUP(E23,AanwezigReserve!D:H,5,0))</f>
        <v/>
      </c>
      <c r="H23" s="135"/>
      <c r="J23" s="56"/>
      <c r="M23" s="93"/>
      <c r="N23" s="93"/>
      <c r="W23" s="84"/>
      <c r="X23" s="84"/>
      <c r="Y23" s="84"/>
      <c r="AB23" s="20" t="str">
        <f ca="1">M14</f>
        <v/>
      </c>
    </row>
    <row r="24" spans="1:28" ht="17.25" thickTop="1" thickBot="1">
      <c r="A24" s="174">
        <f ca="1">IF(LEN(E24)&gt;5,IF(D24="R",9999,IF(ISERROR(MATCH(E24,AanwezigReserve!Y$3:Y$7,0)),TRUNC(10+RAND()*1000),TRUNC(RAND()*10))+IF(AND(F24="Geen",ISERROR(MATCH(E24,AanwezigReserve!Y$3:Y$7,0))),1100+RAND()*200,0)),10000)</f>
        <v>10000</v>
      </c>
      <c r="B24" s="18">
        <f ca="1">IFERROR(VLOOKUP(E24,AanwezigReserve!Y$3:Z$6,2,0),IF(COUNTIF(B$4:B23,B$2)&lt;3,B$2,IF(COUNTIF(B$4:B23,B23)&lt;4,B23,B23+1)))</f>
        <v>7</v>
      </c>
      <c r="C24" s="18" t="str">
        <f ca="1">IF(AND(B$2&lt;=B24,B24&lt;=C$2),4*(B24-1)+COUNTIF(B$5:B24,B24),"")</f>
        <v/>
      </c>
      <c r="D24" s="168"/>
      <c r="E24" s="4" t="str">
        <f>IF(AND(ISNUMBER(AanwezigReserve!F42),AanwezigReserve!F42&gt;=$F$1),AanwezigReserve!D42,"ZZZZ")</f>
        <v>ZZZZ</v>
      </c>
      <c r="F24" s="34" t="str">
        <f>IF(ISERROR(VLOOKUP(E24,AanwezigReserve!D:H,4,0)),"",IF(VLOOKUP(E24,AanwezigReserve!D:H,4,0)="G","Geen",""))</f>
        <v/>
      </c>
      <c r="G24" s="25" t="str">
        <f>IF(ISERROR(VLOOKUP(E24,AanwezigReserve!D:H,4,0)),"",VLOOKUP(E24,AanwezigReserve!D:H,5,0))</f>
        <v/>
      </c>
      <c r="H24" s="137"/>
      <c r="I24" s="3" t="s">
        <v>141</v>
      </c>
      <c r="J24" s="56"/>
      <c r="N24" s="93"/>
      <c r="Q24" s="10" t="s">
        <v>0</v>
      </c>
      <c r="W24" s="84"/>
      <c r="X24" s="84"/>
      <c r="Y24" s="84"/>
      <c r="AB24" s="20" t="str">
        <f ca="1">P14</f>
        <v/>
      </c>
    </row>
    <row r="25" spans="1:28" ht="17.25" thickTop="1" thickBot="1">
      <c r="A25" s="174">
        <f ca="1">IF(LEN(E25)&gt;5,IF(D25="R",9999,IF(ISERROR(MATCH(E25,AanwezigReserve!Y$3:Y$7,0)),TRUNC(10+RAND()*1000),TRUNC(RAND()*10))+IF(AND(F25="Geen",ISERROR(MATCH(E25,AanwezigReserve!Y$3:Y$7,0))),1100+RAND()*200,0)),10000)</f>
        <v>10000</v>
      </c>
      <c r="B25" s="18">
        <f ca="1">IFERROR(VLOOKUP(E25,AanwezigReserve!Y$3:Z$6,2,0),IF(COUNTIF(B$4:B24,B$2)&lt;3,B$2,IF(COUNTIF(B$4:B24,B24)&lt;4,B24,B24+1)))</f>
        <v>8</v>
      </c>
      <c r="C25" s="18" t="str">
        <f ca="1">IF(AND(B$2&lt;=B25,B25&lt;=C$2),4*(B25-1)+COUNTIF(B$5:B25,B25),"")</f>
        <v/>
      </c>
      <c r="D25" s="168"/>
      <c r="E25" s="4" t="str">
        <f>IF(AND(ISNUMBER(AanwezigReserve!F35),AanwezigReserve!F35&gt;=$F$1),AanwezigReserve!D35,"ZZZZ")</f>
        <v>ZZZZ</v>
      </c>
      <c r="F25" s="34" t="str">
        <f>IF(ISERROR(VLOOKUP(E25,AanwezigReserve!D:H,4,0)),"",IF(VLOOKUP(E25,AanwezigReserve!D:H,4,0)="G","Geen",""))</f>
        <v/>
      </c>
      <c r="G25" s="25" t="str">
        <f>IF(ISERROR(VLOOKUP(E25,AanwezigReserve!D:H,4,0)),"",VLOOKUP(E25,AanwezigReserve!D:H,5,0))</f>
        <v/>
      </c>
      <c r="H25" s="137"/>
      <c r="I25" t="e">
        <f>MATCH("R",$D$5:$D$99,0)</f>
        <v>#N/A</v>
      </c>
      <c r="J25" s="56"/>
      <c r="N25" s="93"/>
      <c r="Q25" s="7" t="s">
        <v>1</v>
      </c>
      <c r="R25" s="7" t="str">
        <f ca="1">IF($D$4&gt;=1,INDEX(E$5:E$56,I25),"")</f>
        <v/>
      </c>
      <c r="W25" s="84"/>
      <c r="X25" s="84"/>
      <c r="Y25" s="84"/>
      <c r="AA25" s="7"/>
      <c r="AB25" s="20" t="str">
        <f ca="1">R14</f>
        <v/>
      </c>
    </row>
    <row r="26" spans="1:28" ht="17.25" customHeight="1" thickTop="1" thickBot="1">
      <c r="A26" s="174">
        <f ca="1">IF(LEN(E26)&gt;5,IF(D26="R",9999,IF(ISERROR(MATCH(E26,AanwezigReserve!Y$3:Y$7,0)),TRUNC(10+RAND()*1000),TRUNC(RAND()*10))+IF(AND(F26="Geen",ISERROR(MATCH(E26,AanwezigReserve!Y$3:Y$7,0))),1100+RAND()*200,0)),10000)</f>
        <v>10000</v>
      </c>
      <c r="B26" s="18">
        <f ca="1">IFERROR(VLOOKUP(E26,AanwezigReserve!Y$3:Z$6,2,0),IF(COUNTIF(B$4:B25,B$2)&lt;3,B$2,IF(COUNTIF(B$4:B25,B25)&lt;4,B25,B25+1)))</f>
        <v>8</v>
      </c>
      <c r="C26" s="18" t="str">
        <f ca="1">IF(AND(B$2&lt;=B26,B26&lt;=C$2),4*(B26-1)+COUNTIF(B$5:B26,B26),"")</f>
        <v/>
      </c>
      <c r="D26" s="168"/>
      <c r="E26" s="4" t="str">
        <f>IF(AND(ISNUMBER(AanwezigReserve!F40),AanwezigReserve!F40&gt;=$F$1),AanwezigReserve!D40,"ZZZZ")</f>
        <v>ZZZZ</v>
      </c>
      <c r="F26" s="34" t="str">
        <f>IF(ISERROR(VLOOKUP(E26,AanwezigReserve!D:H,4,0)),"",IF(VLOOKUP(E26,AanwezigReserve!D:H,4,0)="G","Geen",""))</f>
        <v/>
      </c>
      <c r="G26" s="25" t="str">
        <f>IF(ISERROR(VLOOKUP(E26,AanwezigReserve!D:H,4,0)),"",VLOOKUP(E26,AanwezigReserve!D:H,5,0))</f>
        <v/>
      </c>
      <c r="H26" s="53"/>
      <c r="I26" t="e">
        <f>I25+1</f>
        <v>#N/A</v>
      </c>
      <c r="J26" s="56"/>
      <c r="Q26" s="7" t="s">
        <v>1</v>
      </c>
      <c r="R26" s="7" t="str">
        <f ca="1">IF($D$4&gt;=2,INDEX(E$5:E$56,I26),"")</f>
        <v/>
      </c>
      <c r="W26" s="84"/>
      <c r="X26" s="84"/>
      <c r="Y26" s="84"/>
      <c r="AA26" s="7">
        <f>AA22+1</f>
        <v>7</v>
      </c>
      <c r="AB26" s="19" t="str">
        <f ca="1">K15</f>
        <v/>
      </c>
    </row>
    <row r="27" spans="1:28" ht="17.25" thickTop="1" thickBot="1">
      <c r="A27" s="174">
        <f ca="1">IF(LEN(E27)&gt;5,IF(D27="R",9999,IF(ISERROR(MATCH(E27,AanwezigReserve!Y$3:Y$7,0)),TRUNC(10+RAND()*1000),TRUNC(RAND()*10))+IF(AND(F27="Geen",ISERROR(MATCH(E27,AanwezigReserve!Y$3:Y$7,0))),1100+RAND()*200,0)),10000)</f>
        <v>10000</v>
      </c>
      <c r="B27" s="18">
        <f ca="1">IFERROR(VLOOKUP(E27,AanwezigReserve!Y$3:Z$6,2,0),IF(COUNTIF(B$4:B26,B$2)&lt;3,B$2,IF(COUNTIF(B$4:B26,B26)&lt;4,B26,B26+1)))</f>
        <v>8</v>
      </c>
      <c r="C27" s="18" t="str">
        <f ca="1">IF(AND(B$2&lt;=B27,B27&lt;=C$2),4*(B27-1)+COUNTIF(B$5:B27,B27),"")</f>
        <v/>
      </c>
      <c r="D27" s="168"/>
      <c r="E27" s="4" t="str">
        <f>IF(AND(ISNUMBER(AanwezigReserve!F12),AanwezigReserve!F12&gt;=$F$1),AanwezigReserve!D12,"ZZZZ")</f>
        <v>ZZZZ</v>
      </c>
      <c r="F27" s="34" t="str">
        <f>IF(ISERROR(VLOOKUP(E27,AanwezigReserve!D:H,4,0)),"",IF(VLOOKUP(E27,AanwezigReserve!D:H,4,0)="G","Geen",""))</f>
        <v/>
      </c>
      <c r="G27" s="25" t="str">
        <f>IF(ISERROR(VLOOKUP(E27,AanwezigReserve!D:H,4,0)),"",VLOOKUP(E27,AanwezigReserve!D:H,5,0))</f>
        <v/>
      </c>
      <c r="H27" s="53"/>
      <c r="I27" t="e">
        <f>I26+1</f>
        <v>#N/A</v>
      </c>
      <c r="J27" s="61"/>
      <c r="Q27" s="7" t="s">
        <v>1</v>
      </c>
      <c r="R27" s="7" t="str">
        <f ca="1">IF($D$4&gt;=3,INDEX(E$5:E$56,I27),"")</f>
        <v/>
      </c>
      <c r="W27" s="84"/>
      <c r="X27" s="84"/>
      <c r="Y27" s="84"/>
      <c r="AB27" s="20" t="str">
        <f ca="1">M15</f>
        <v/>
      </c>
    </row>
    <row r="28" spans="1:28" ht="20.100000000000001" customHeight="1" thickTop="1" thickBot="1">
      <c r="A28" s="174">
        <f ca="1">IF(LEN(E28)&gt;5,IF(D28="R",9999,IF(ISERROR(MATCH(E28,AanwezigReserve!Y$3:Y$7,0)),TRUNC(10+RAND()*1000),TRUNC(RAND()*10))+IF(AND(F28="Geen",ISERROR(MATCH(E28,AanwezigReserve!Y$3:Y$7,0))),1100+RAND()*200,0)),10000)</f>
        <v>10000</v>
      </c>
      <c r="B28" s="18">
        <f ca="1">IFERROR(VLOOKUP(E28,AanwezigReserve!Y$3:Z$6,2,0),IF(COUNTIF(B$4:B27,B$2)&lt;3,B$2,IF(COUNTIF(B$4:B27,B27)&lt;4,B27,B27+1)))</f>
        <v>8</v>
      </c>
      <c r="C28" s="18" t="str">
        <f ca="1">IF(AND(B$2&lt;=B28,B28&lt;=C$2),4*(B28-1)+COUNTIF(B$5:B28,B28),"")</f>
        <v/>
      </c>
      <c r="D28" s="168"/>
      <c r="E28" s="4" t="str">
        <f>IF(AND(ISNUMBER(AanwezigReserve!F30),AanwezigReserve!F30&gt;=$F$1),AanwezigReserve!D30,"ZZZZ")</f>
        <v>ZZZZ</v>
      </c>
      <c r="F28" s="34" t="str">
        <f>IF(ISERROR(VLOOKUP(E28,AanwezigReserve!D:H,4,0)),"",IF(VLOOKUP(E28,AanwezigReserve!D:H,4,0)="G","Geen",""))</f>
        <v/>
      </c>
      <c r="G28" s="25" t="str">
        <f>IF(ISERROR(VLOOKUP(E28,AanwezigReserve!D:H,4,0)),"",VLOOKUP(E28,AanwezigReserve!D:H,5,0))</f>
        <v/>
      </c>
      <c r="H28" s="53"/>
      <c r="I28"/>
      <c r="J28" s="61"/>
      <c r="W28" s="84"/>
      <c r="X28" s="84"/>
      <c r="Y28" s="84"/>
      <c r="AB28" s="20" t="str">
        <f ca="1">P15</f>
        <v/>
      </c>
    </row>
    <row r="29" spans="1:28" ht="15.75" customHeight="1" thickTop="1" thickBot="1">
      <c r="A29" s="174">
        <f ca="1">IF(LEN(E29)&gt;5,IF(D29="R",9999,IF(ISERROR(MATCH(E29,AanwezigReserve!Y$3:Y$7,0)),TRUNC(10+RAND()*1000),TRUNC(RAND()*10))+IF(AND(F29="Geen",ISERROR(MATCH(E29,AanwezigReserve!Y$3:Y$7,0))),1100+RAND()*200,0)),10000)</f>
        <v>10000</v>
      </c>
      <c r="B29" s="18">
        <f ca="1">IFERROR(VLOOKUP(E29,AanwezigReserve!Y$3:Z$6,2,0),IF(COUNTIF(B$4:B28,B$2)&lt;3,B$2,IF(COUNTIF(B$4:B28,B28)&lt;4,B28,B28+1)))</f>
        <v>9</v>
      </c>
      <c r="C29" s="18" t="str">
        <f ca="1">IF(AND(B$2&lt;=B29,B29&lt;=C$2),4*(B29-1)+COUNTIF(B$5:B29,B29),"")</f>
        <v/>
      </c>
      <c r="D29" s="168"/>
      <c r="E29" s="4" t="str">
        <f>IF(AND(ISNUMBER(AanwezigReserve!F13),AanwezigReserve!F13&gt;=$F$1),AanwezigReserve!D13,"ZZZZ")</f>
        <v>ZZZZ</v>
      </c>
      <c r="F29" s="34" t="str">
        <f>IF(ISERROR(VLOOKUP(E29,AanwezigReserve!D:H,4,0)),"",IF(VLOOKUP(E29,AanwezigReserve!D:H,4,0)="G","Geen",""))</f>
        <v/>
      </c>
      <c r="G29" s="25" t="str">
        <f>IF(ISERROR(VLOOKUP(E29,AanwezigReserve!D:H,4,0)),"",VLOOKUP(E29,AanwezigReserve!D:H,5,0))</f>
        <v/>
      </c>
      <c r="H29" s="53"/>
      <c r="I29"/>
      <c r="J29" s="54"/>
      <c r="K29" s="2"/>
      <c r="L29" s="2"/>
      <c r="N29" s="110">
        <f ca="1">S29</f>
        <v>46139</v>
      </c>
      <c r="S29" s="110">
        <f ca="1">$R$2</f>
        <v>46139</v>
      </c>
      <c r="T29" s="37"/>
      <c r="W29" s="84"/>
      <c r="X29" s="84"/>
      <c r="Y29" s="84"/>
      <c r="AB29" s="19" t="str">
        <f ca="1">R15</f>
        <v/>
      </c>
    </row>
    <row r="30" spans="1:28" ht="15.75" customHeight="1" thickTop="1" thickBot="1">
      <c r="A30" s="174">
        <f ca="1">IF(LEN(E30)&gt;5,IF(D30="R",9999,IF(ISERROR(MATCH(E30,AanwezigReserve!Y$3:Y$7,0)),TRUNC(10+RAND()*1000),TRUNC(RAND()*10))+IF(AND(F30="Geen",ISERROR(MATCH(E30,AanwezigReserve!Y$3:Y$7,0))),1100+RAND()*200,0)),10000)</f>
        <v>10000</v>
      </c>
      <c r="B30" s="18">
        <f ca="1">IFERROR(VLOOKUP(E30,AanwezigReserve!Y$3:Z$6,2,0),IF(COUNTIF(B$4:B29,B$2)&lt;3,B$2,IF(COUNTIF(B$4:B29,B29)&lt;4,B29,B29+1)))</f>
        <v>9</v>
      </c>
      <c r="C30" s="18" t="str">
        <f ca="1">IF(AND(B$2&lt;=B30,B30&lt;=C$2),4*(B30-1)+COUNTIF(B$5:B30,B30),"")</f>
        <v/>
      </c>
      <c r="D30" s="168"/>
      <c r="E30" s="4" t="str">
        <f>IF(AND(ISNUMBER(AanwezigReserve!F6),AanwezigReserve!F6&gt;=$F$1),AanwezigReserve!D6,"ZZZZ")</f>
        <v>ZZZZ</v>
      </c>
      <c r="F30" s="34" t="str">
        <f>IF(ISERROR(VLOOKUP(E30,AanwezigReserve!D:H,4,0)),"",IF(VLOOKUP(E30,AanwezigReserve!D:H,4,0)="G","Geen",""))</f>
        <v/>
      </c>
      <c r="G30" s="25" t="str">
        <f>IF(ISERROR(VLOOKUP(E30,AanwezigReserve!D:H,4,0)),"",VLOOKUP(E30,AanwezigReserve!D:H,5,0))</f>
        <v/>
      </c>
      <c r="H30" s="53"/>
      <c r="I30"/>
      <c r="J30" s="54"/>
      <c r="K30" s="2"/>
      <c r="L30" s="2"/>
      <c r="N30" s="40"/>
      <c r="S30" s="40"/>
      <c r="T30" s="37"/>
      <c r="W30" s="84"/>
      <c r="X30" s="84"/>
      <c r="Y30" s="84"/>
      <c r="AA30" s="7">
        <f>AA26+1</f>
        <v>8</v>
      </c>
      <c r="AB30" s="20" t="str">
        <f ca="1">K16</f>
        <v/>
      </c>
    </row>
    <row r="31" spans="1:28" ht="15.75" customHeight="1" thickTop="1" thickBot="1">
      <c r="A31" s="174">
        <f ca="1">IF(LEN(E31)&gt;5,IF(D31="R",9999,IF(ISERROR(MATCH(E31,AanwezigReserve!Y$3:Y$7,0)),TRUNC(10+RAND()*1000),TRUNC(RAND()*10))+IF(AND(F31="Geen",ISERROR(MATCH(E31,AanwezigReserve!Y$3:Y$7,0))),1100+RAND()*200,0)),10000)</f>
        <v>10000</v>
      </c>
      <c r="B31" s="18">
        <f ca="1">IFERROR(VLOOKUP(E31,AanwezigReserve!Y$3:Z$6,2,0),IF(COUNTIF(B$4:B30,B$2)&lt;3,B$2,IF(COUNTIF(B$4:B30,B30)&lt;4,B30,B30+1)))</f>
        <v>9</v>
      </c>
      <c r="C31" s="18" t="str">
        <f ca="1">IF(AND(B$2&lt;=B31,B31&lt;=C$2),4*(B31-1)+COUNTIF(B$5:B31,B31),"")</f>
        <v/>
      </c>
      <c r="D31" s="168"/>
      <c r="E31" s="4" t="str">
        <f>IF(AND(ISNUMBER(AanwezigReserve!F28),AanwezigReserve!F28&gt;=$F$1),AanwezigReserve!D28,"ZZZZ")</f>
        <v>ZZZZ</v>
      </c>
      <c r="F31" s="34" t="str">
        <f>IF(ISERROR(VLOOKUP(E31,AanwezigReserve!D:H,4,0)),"",IF(VLOOKUP(E31,AanwezigReserve!D:H,4,0)="G","Geen",""))</f>
        <v/>
      </c>
      <c r="G31" s="25" t="str">
        <f>IF(ISERROR(VLOOKUP(E31,AanwezigReserve!D:H,4,0)),"",VLOOKUP(E31,AanwezigReserve!D:H,5,0))</f>
        <v/>
      </c>
      <c r="H31" s="53"/>
      <c r="I31"/>
      <c r="J31" s="54"/>
      <c r="K31" s="2"/>
      <c r="M31" s="201">
        <f>$O$6</f>
        <v>5</v>
      </c>
      <c r="N31" s="202">
        <f>$J$9</f>
        <v>1</v>
      </c>
      <c r="O31" s="2"/>
      <c r="P31" s="2"/>
      <c r="Q31" s="93"/>
      <c r="R31" s="203">
        <f>$M$31</f>
        <v>5</v>
      </c>
      <c r="S31" s="204">
        <f>$J$10</f>
        <v>2</v>
      </c>
      <c r="T31" s="11"/>
      <c r="W31" s="84"/>
      <c r="X31" s="84"/>
      <c r="Y31" s="84"/>
      <c r="AB31" s="20" t="str">
        <f ca="1">M16</f>
        <v/>
      </c>
    </row>
    <row r="32" spans="1:28" ht="15.75" customHeight="1" thickTop="1" thickBot="1">
      <c r="A32" s="174">
        <f ca="1">IF(LEN(E32)&gt;5,IF(D32="R",9999,IF(ISERROR(MATCH(E32,AanwezigReserve!Y$3:Y$7,0)),TRUNC(10+RAND()*1000),TRUNC(RAND()*10))+IF(AND(F32="Geen",ISERROR(MATCH(E32,AanwezigReserve!Y$3:Y$7,0))),1100+RAND()*200,0)),10000)</f>
        <v>10000</v>
      </c>
      <c r="B32" s="18">
        <f ca="1">IFERROR(VLOOKUP(E32,AanwezigReserve!Y$3:Z$6,2,0),IF(COUNTIF(B$4:B31,B$2)&lt;3,B$2,IF(COUNTIF(B$4:B31,B31)&lt;4,B31,B31+1)))</f>
        <v>9</v>
      </c>
      <c r="C32" s="18" t="str">
        <f ca="1">IF(AND(B$2&lt;=B32,B32&lt;=C$2),4*(B32-1)+COUNTIF(B$5:B32,B32),"")</f>
        <v/>
      </c>
      <c r="D32" s="168"/>
      <c r="E32" s="4" t="str">
        <f>IF(AND(ISNUMBER(AanwezigReserve!F33),AanwezigReserve!F33&gt;=$F$1),AanwezigReserve!D33,"ZZZZ")</f>
        <v>ZZZZ</v>
      </c>
      <c r="F32" s="34" t="str">
        <f>IF(ISERROR(VLOOKUP(E32,AanwezigReserve!D:H,4,0)),"",IF(VLOOKUP(E32,AanwezigReserve!D:H,4,0)="G","Geen",""))</f>
        <v/>
      </c>
      <c r="G32" s="25" t="str">
        <f>IF(ISERROR(VLOOKUP(E32,AanwezigReserve!D:H,4,0)),"",VLOOKUP(E32,AanwezigReserve!D:H,5,0))</f>
        <v/>
      </c>
      <c r="H32" s="54"/>
      <c r="I32"/>
      <c r="J32" s="54"/>
      <c r="K32" s="2"/>
      <c r="M32" s="101"/>
      <c r="N32" s="11"/>
      <c r="O32" s="2"/>
      <c r="P32" s="2"/>
      <c r="R32" s="101"/>
      <c r="S32" s="11"/>
      <c r="W32" s="84"/>
      <c r="X32" s="84"/>
      <c r="Y32" s="84"/>
      <c r="AB32" s="20" t="str">
        <f ca="1">P16</f>
        <v/>
      </c>
    </row>
    <row r="33" spans="1:32" ht="15.75" customHeight="1" thickTop="1" thickBot="1">
      <c r="A33" s="174">
        <f ca="1">IF(LEN(E33)&gt;5,IF(D33="R",9999,IF(ISERROR(MATCH(E33,AanwezigReserve!Y$3:Y$7,0)),TRUNC(10+RAND()*1000),TRUNC(RAND()*10))+IF(AND(F33="Geen",ISERROR(MATCH(E33,AanwezigReserve!Y$3:Y$7,0))),1100+RAND()*200,0)),10000)</f>
        <v>10000</v>
      </c>
      <c r="B33" s="18">
        <f ca="1">IFERROR(VLOOKUP(E33,AanwezigReserve!Y$3:Z$6,2,0),IF(COUNTIF(B$4:B32,B$2)&lt;3,B$2,IF(COUNTIF(B$4:B32,B32)&lt;4,B32,B32+1)))</f>
        <v>10</v>
      </c>
      <c r="C33" s="18" t="str">
        <f ca="1">IF(AND(B$2&lt;=B33,B33&lt;=C$2),4*(B33-1)+COUNTIF(B$5:B33,B33),"")</f>
        <v/>
      </c>
      <c r="D33" s="168"/>
      <c r="E33" s="4" t="str">
        <f>IF(AND(ISNUMBER(AanwezigReserve!F48),AanwezigReserve!F48&gt;=$F$1),AanwezigReserve!D48,"ZZZZ")</f>
        <v>ZZZZ</v>
      </c>
      <c r="F33" s="34" t="str">
        <f>IF(ISERROR(VLOOKUP(E33,AanwezigReserve!D:H,4,0)),"",IF(VLOOKUP(E33,AanwezigReserve!D:H,4,0)="G","Geen",""))</f>
        <v/>
      </c>
      <c r="G33" s="25" t="str">
        <f>IF(ISERROR(VLOOKUP(E33,AanwezigReserve!D:H,4,0)),"",VLOOKUP(E33,AanwezigReserve!D:H,5,0))</f>
        <v/>
      </c>
      <c r="H33" s="54"/>
      <c r="I33"/>
      <c r="J33" s="54"/>
      <c r="K33" s="102"/>
      <c r="L33" s="102"/>
      <c r="M33" s="102"/>
      <c r="N33" s="102"/>
      <c r="O33" s="2"/>
      <c r="T33" s="39"/>
      <c r="W33" s="84"/>
      <c r="X33" s="84"/>
      <c r="Y33" s="84"/>
      <c r="AA33" s="7"/>
      <c r="AB33" s="20" t="str">
        <f ca="1">R16</f>
        <v/>
      </c>
    </row>
    <row r="34" spans="1:32" ht="15.75" customHeight="1" thickTop="1" thickBot="1">
      <c r="A34" s="174">
        <f ca="1">IF(LEN(E34)&gt;5,IF(D34="R",9999,IF(ISERROR(MATCH(E34,AanwezigReserve!Y$3:Y$7,0)),TRUNC(10+RAND()*1000),TRUNC(RAND()*10))+IF(AND(F34="Geen",ISERROR(MATCH(E34,AanwezigReserve!Y$3:Y$7,0))),1100+RAND()*200,0)),10000)</f>
        <v>10000</v>
      </c>
      <c r="B34" s="18">
        <f ca="1">IFERROR(VLOOKUP(E34,AanwezigReserve!Y$3:Z$6,2,0),IF(COUNTIF(B$4:B33,B$2)&lt;3,B$2,IF(COUNTIF(B$4:B33,B33)&lt;4,B33,B33+1)))</f>
        <v>10</v>
      </c>
      <c r="C34" s="18" t="str">
        <f ca="1">IF(AND(B$2&lt;=B34,B34&lt;=C$2),4*(B34-1)+COUNTIF(B$5:B34,B34),"")</f>
        <v/>
      </c>
      <c r="D34" s="168"/>
      <c r="E34" s="4" t="str">
        <f>IF(AND(ISNUMBER(AanwezigReserve!F14),AanwezigReserve!F14&gt;=$F$1),AanwezigReserve!D14,"ZZZZ")</f>
        <v>ZZZZ</v>
      </c>
      <c r="F34" s="34" t="str">
        <f>IF(ISERROR(VLOOKUP(E34,AanwezigReserve!D:H,4,0)),"",IF(VLOOKUP(E34,AanwezigReserve!D:H,4,0)="G","Geen",""))</f>
        <v/>
      </c>
      <c r="G34" s="25" t="str">
        <f>IF(ISERROR(VLOOKUP(E34,AanwezigReserve!D:H,4,0)),"",VLOOKUP(E34,AanwezigReserve!D:H,5,0))</f>
        <v/>
      </c>
      <c r="H34" s="54"/>
      <c r="I34"/>
      <c r="J34" s="59"/>
      <c r="K34" s="200" t="e">
        <f ca="1">VLOOKUP(K9,AanwezigReserve!$D:$E,2,0)</f>
        <v>#N/A</v>
      </c>
      <c r="L34" s="102" t="e">
        <f ca="1">VLOOKUP(M9,AanwezigReserve!$D:$E,2,0)</f>
        <v>#N/A</v>
      </c>
      <c r="M34" s="102" t="e">
        <f ca="1">VLOOKUP(P9,AanwezigReserve!$D:$E,2,0)</f>
        <v>#N/A</v>
      </c>
      <c r="N34" s="39" t="e">
        <f ca="1">VLOOKUP(R9,AanwezigReserve!$D:$E,2,0)</f>
        <v>#N/A</v>
      </c>
      <c r="P34" s="102" t="e">
        <f ca="1">VLOOKUP(K10,AanwezigReserve!$D:$E,2,0)</f>
        <v>#N/A</v>
      </c>
      <c r="Q34" s="102" t="e">
        <f ca="1">VLOOKUP(M10,AanwezigReserve!$D:$E,2,0)</f>
        <v>#N/A</v>
      </c>
      <c r="R34" s="102" t="e">
        <f ca="1">VLOOKUP(P10,AanwezigReserve!$D:$E,2,0)</f>
        <v>#N/A</v>
      </c>
      <c r="S34" s="39" t="e">
        <f ca="1">VLOOKUP(R10,AanwezigReserve!$D:$E,2,0)</f>
        <v>#N/A</v>
      </c>
      <c r="T34" s="13"/>
      <c r="AA34" s="7">
        <f>AA30+1</f>
        <v>9</v>
      </c>
      <c r="AB34" s="19" t="str">
        <f ca="1">K17</f>
        <v/>
      </c>
    </row>
    <row r="35" spans="1:32" ht="15.75" customHeight="1" thickTop="1" thickBot="1">
      <c r="A35" s="174">
        <f ca="1">IF(LEN(E35)&gt;5,IF(D35="R",9999,IF(ISERROR(MATCH(E35,AanwezigReserve!Y$3:Y$7,0)),TRUNC(10+RAND()*1000),TRUNC(RAND()*10))+IF(AND(F35="Geen",ISERROR(MATCH(E35,AanwezigReserve!Y$3:Y$7,0))),1100+RAND()*200,0)),10000)</f>
        <v>10000</v>
      </c>
      <c r="B35" s="18">
        <f ca="1">IFERROR(VLOOKUP(E35,AanwezigReserve!Y$3:Z$6,2,0),IF(COUNTIF(B$4:B34,B$2)&lt;3,B$2,IF(COUNTIF(B$4:B34,B34)&lt;4,B34,B34+1)))</f>
        <v>10</v>
      </c>
      <c r="C35" s="18" t="str">
        <f ca="1">IF(AND(B$2&lt;=B35,B35&lt;=C$2),4*(B35-1)+COUNTIF(B$5:B35,B35),"")</f>
        <v/>
      </c>
      <c r="D35" s="168"/>
      <c r="E35" s="4" t="str">
        <f>IF(AND(ISNUMBER(AanwezigReserve!F11),AanwezigReserve!F11&gt;=$F$1),AanwezigReserve!D11,"ZZZZ")</f>
        <v>ZZZZ</v>
      </c>
      <c r="F35" s="34" t="str">
        <f>IF(ISERROR(VLOOKUP(E35,AanwezigReserve!D:H,4,0)),"",IF(VLOOKUP(E35,AanwezigReserve!D:H,4,0)="G","Geen",""))</f>
        <v/>
      </c>
      <c r="G35" s="25" t="str">
        <f>IF(ISERROR(VLOOKUP(E35,AanwezigReserve!D:H,4,0)),"",VLOOKUP(E35,AanwezigReserve!D:H,5,0))</f>
        <v/>
      </c>
      <c r="H35" s="53"/>
      <c r="I35"/>
      <c r="J35" s="54"/>
      <c r="T35" s="40"/>
      <c r="AB35" s="20" t="str">
        <f ca="1">M17</f>
        <v/>
      </c>
    </row>
    <row r="36" spans="1:32" ht="15.75" customHeight="1" thickTop="1" thickBot="1">
      <c r="A36" s="174">
        <f ca="1">IF(LEN(E36)&gt;5,IF(D36="R",9999,IF(ISERROR(MATCH(E36,AanwezigReserve!Y$3:Y$7,0)),TRUNC(10+RAND()*1000),TRUNC(RAND()*10))+IF(AND(F36="Geen",ISERROR(MATCH(E36,AanwezigReserve!Y$3:Y$7,0))),1100+RAND()*200,0)),10000)</f>
        <v>10000</v>
      </c>
      <c r="B36" s="18">
        <f ca="1">IFERROR(VLOOKUP(E36,AanwezigReserve!Y$3:Z$6,2,0),IF(COUNTIF(B$4:B35,B$2)&lt;3,B$2,IF(COUNTIF(B$4:B35,B35)&lt;4,B35,B35+1)))</f>
        <v>10</v>
      </c>
      <c r="C36" s="18" t="str">
        <f ca="1">IF(AND(B$2&lt;=B36,B36&lt;=C$2),4*(B36-1)+COUNTIF(B$5:B36,B36),"")</f>
        <v/>
      </c>
      <c r="D36" s="168"/>
      <c r="E36" s="4" t="str">
        <f>IF(AND(ISNUMBER(AanwezigReserve!F24),AanwezigReserve!F24&gt;=$F$1),AanwezigReserve!D24,"ZZZZ")</f>
        <v>ZZZZ</v>
      </c>
      <c r="F36" s="34" t="str">
        <f>IF(ISERROR(VLOOKUP(E36,AanwezigReserve!D:H,4,0)),"",IF(VLOOKUP(E36,AanwezigReserve!D:H,4,0)="G","Geen",""))</f>
        <v/>
      </c>
      <c r="G36" s="25" t="str">
        <f>IF(ISERROR(VLOOKUP(E36,AanwezigReserve!D:H,4,0)),"",VLOOKUP(E36,AanwezigReserve!D:H,5,0))</f>
        <v/>
      </c>
      <c r="H36" s="53"/>
      <c r="I36"/>
      <c r="J36" s="54"/>
      <c r="K36" s="102"/>
      <c r="L36" s="2"/>
      <c r="N36" s="110">
        <f ca="1">N29</f>
        <v>46139</v>
      </c>
      <c r="O36" s="103"/>
      <c r="P36" s="103"/>
      <c r="Q36" s="103"/>
      <c r="R36" s="104"/>
      <c r="S36" s="110">
        <f ca="1">S29</f>
        <v>46139</v>
      </c>
      <c r="T36" s="12"/>
      <c r="AB36" s="20" t="str">
        <f ca="1">P17</f>
        <v/>
      </c>
    </row>
    <row r="37" spans="1:32" ht="15.75" customHeight="1" thickTop="1" thickBot="1">
      <c r="A37" s="174">
        <f ca="1">IF(LEN(E37)&gt;5,IF(D37="R",9999,IF(ISERROR(MATCH(E37,AanwezigReserve!Y$3:Y$7,0)),TRUNC(10+RAND()*1000),TRUNC(RAND()*10))+IF(AND(F37="Geen",ISERROR(MATCH(E37,AanwezigReserve!Y$3:Y$7,0))),1100+RAND()*200,0)),10000)</f>
        <v>10000</v>
      </c>
      <c r="B37" s="18">
        <f ca="1">IFERROR(VLOOKUP(E37,AanwezigReserve!Y$3:Z$6,2,0),IF(COUNTIF(B$4:B36,B$2)&lt;3,B$2,IF(COUNTIF(B$4:B36,B36)&lt;4,B36,B36+1)))</f>
        <v>11</v>
      </c>
      <c r="C37" s="18" t="str">
        <f ca="1">IF(AND(B$2&lt;=B37,B37&lt;=C$2),4*(B37-1)+COUNTIF(B$5:B37,B37),"")</f>
        <v/>
      </c>
      <c r="D37" s="168"/>
      <c r="E37" s="4" t="str">
        <f>IF(AND(ISNUMBER(AanwezigReserve!F36),AanwezigReserve!F36&gt;=$F$1),AanwezigReserve!D36,"ZZZZ")</f>
        <v>ZZZZ</v>
      </c>
      <c r="F37" s="34" t="str">
        <f>IF(ISERROR(VLOOKUP(E37,AanwezigReserve!D:H,4,0)),"",IF(VLOOKUP(E37,AanwezigReserve!D:H,4,0)="G","Geen",""))</f>
        <v/>
      </c>
      <c r="G37" s="25" t="str">
        <f>IF(ISERROR(VLOOKUP(E37,AanwezigReserve!D:H,4,0)),"",VLOOKUP(E37,AanwezigReserve!D:H,5,0))</f>
        <v/>
      </c>
      <c r="H37" s="54"/>
      <c r="I37"/>
      <c r="J37" s="54"/>
      <c r="K37" s="2"/>
      <c r="L37" s="2"/>
      <c r="N37" s="40"/>
      <c r="O37" s="103"/>
      <c r="P37" s="103"/>
      <c r="Q37" s="103"/>
      <c r="R37" s="104"/>
      <c r="S37" s="40"/>
      <c r="T37" s="2"/>
      <c r="AA37" s="7"/>
      <c r="AB37" s="20" t="str">
        <f ca="1">R17</f>
        <v/>
      </c>
    </row>
    <row r="38" spans="1:32" ht="15.75" customHeight="1" thickTop="1" thickBot="1">
      <c r="A38" s="174">
        <f ca="1">IF(LEN(E38)&gt;5,IF(D38="R",9999,IF(ISERROR(MATCH(E38,AanwezigReserve!Y$3:Y$7,0)),TRUNC(10+RAND()*1000),TRUNC(RAND()*10))+IF(AND(F38="Geen",ISERROR(MATCH(E38,AanwezigReserve!Y$3:Y$7,0))),1100+RAND()*200,0)),10000)</f>
        <v>10000</v>
      </c>
      <c r="B38" s="18">
        <f ca="1">IFERROR(VLOOKUP(E38,AanwezigReserve!Y$3:Z$6,2,0),IF(COUNTIF(B$4:B37,B$2)&lt;3,B$2,IF(COUNTIF(B$4:B37,B37)&lt;4,B37,B37+1)))</f>
        <v>11</v>
      </c>
      <c r="C38" s="18" t="str">
        <f ca="1">IF(AND(B$2&lt;=B38,B38&lt;=C$2),4*(B38-1)+COUNTIF(B$5:B38,B38),"")</f>
        <v/>
      </c>
      <c r="D38" s="168"/>
      <c r="E38" s="4" t="str">
        <f>IF(AND(ISNUMBER(AanwezigReserve!F18),AanwezigReserve!F18&gt;=$F$1),AanwezigReserve!D18,"ZZZZ")</f>
        <v>ZZZZ</v>
      </c>
      <c r="F38" s="34" t="str">
        <f>IF(ISERROR(VLOOKUP(E38,AanwezigReserve!D:H,4,0)),"",IF(VLOOKUP(E38,AanwezigReserve!D:H,4,0)="G","Geen",""))</f>
        <v/>
      </c>
      <c r="G38" s="25" t="str">
        <f>IF(ISERROR(VLOOKUP(E38,AanwezigReserve!D:H,4,0)),"",VLOOKUP(E38,AanwezigReserve!D:H,5,0))</f>
        <v/>
      </c>
      <c r="H38" s="54"/>
      <c r="I38"/>
      <c r="J38" s="54"/>
      <c r="K38" s="2"/>
      <c r="M38" s="193">
        <f>M31</f>
        <v>5</v>
      </c>
      <c r="N38" s="194">
        <f>J11</f>
        <v>3</v>
      </c>
      <c r="O38" s="2"/>
      <c r="P38" s="2"/>
      <c r="R38" s="101">
        <f>R31</f>
        <v>5</v>
      </c>
      <c r="S38" s="192">
        <f>J12</f>
        <v>4</v>
      </c>
      <c r="T38" s="8"/>
      <c r="U38" s="2"/>
      <c r="V38" s="9"/>
      <c r="W38" s="37"/>
      <c r="X38" s="38"/>
      <c r="Y38" s="38"/>
      <c r="Z38" s="37"/>
      <c r="AA38" s="7">
        <f>AA34+1</f>
        <v>10</v>
      </c>
      <c r="AB38" s="19" t="str">
        <f ca="1">K18</f>
        <v/>
      </c>
      <c r="AC38" s="7"/>
      <c r="AD38" s="7"/>
    </row>
    <row r="39" spans="1:32" ht="15.75" customHeight="1" thickTop="1" thickBot="1">
      <c r="A39" s="174">
        <f ca="1">IF(LEN(E39)&gt;5,IF(D39="R",9999,IF(ISERROR(MATCH(E39,AanwezigReserve!Y$3:Y$7,0)),TRUNC(10+RAND()*1000),TRUNC(RAND()*10))+IF(AND(F39="Geen",ISERROR(MATCH(E39,AanwezigReserve!Y$3:Y$7,0))),1100+RAND()*200,0)),10000)</f>
        <v>10000</v>
      </c>
      <c r="B39" s="18">
        <f ca="1">IFERROR(VLOOKUP(E39,AanwezigReserve!Y$3:Z$6,2,0),IF(COUNTIF(B$4:B38,B$2)&lt;3,B$2,IF(COUNTIF(B$4:B38,B38)&lt;4,B38,B38+1)))</f>
        <v>11</v>
      </c>
      <c r="C39" s="18" t="str">
        <f ca="1">IF(AND(B$2&lt;=B39,B39&lt;=C$2),4*(B39-1)+COUNTIF(B$5:B39,B39),"")</f>
        <v/>
      </c>
      <c r="D39" s="168"/>
      <c r="E39" s="4" t="str">
        <f>IF(AND(ISNUMBER(AanwezigReserve!F7),AanwezigReserve!F7&gt;=$F$1),AanwezigReserve!D7,"ZZZZ")</f>
        <v>ZZZZ</v>
      </c>
      <c r="F39" s="34" t="str">
        <f>IF(ISERROR(VLOOKUP(E39,AanwezigReserve!D:H,4,0)),"",IF(VLOOKUP(E39,AanwezigReserve!D:H,4,0)="G","Geen",""))</f>
        <v/>
      </c>
      <c r="G39" s="25" t="str">
        <f>IF(ISERROR(VLOOKUP(E39,AanwezigReserve!D:H,4,0)),"",VLOOKUP(E39,AanwezigReserve!D:H,5,0))</f>
        <v/>
      </c>
      <c r="H39" s="53"/>
      <c r="I39"/>
      <c r="J39" s="62"/>
      <c r="K39" s="2"/>
      <c r="M39" s="101"/>
      <c r="N39" s="11"/>
      <c r="O39" s="2"/>
      <c r="P39" s="2"/>
      <c r="R39" s="101"/>
      <c r="S39" s="11"/>
      <c r="T39" s="8"/>
      <c r="U39" s="1"/>
      <c r="V39" s="1"/>
      <c r="AB39" s="20" t="str">
        <f ca="1">M18</f>
        <v/>
      </c>
    </row>
    <row r="40" spans="1:32" ht="15.75" customHeight="1" thickTop="1" thickBot="1">
      <c r="A40" s="174">
        <f ca="1">IF(LEN(E40)&gt;5,IF(D40="R",9999,IF(ISERROR(MATCH(E40,AanwezigReserve!Y$3:Y$7,0)),TRUNC(10+RAND()*1000),TRUNC(RAND()*10))+IF(AND(F40="Geen",ISERROR(MATCH(E40,AanwezigReserve!Y$3:Y$7,0))),1100+RAND()*200,0)),10000)</f>
        <v>10000</v>
      </c>
      <c r="B40" s="18">
        <f ca="1">IFERROR(VLOOKUP(E40,AanwezigReserve!Y$3:Z$6,2,0),IF(COUNTIF(B$4:B39,B$2)&lt;3,B$2,IF(COUNTIF(B$4:B39,B39)&lt;4,B39,B39+1)))</f>
        <v>11</v>
      </c>
      <c r="C40" s="18" t="str">
        <f ca="1">IF(AND(B$2&lt;=B40,B40&lt;=C$2),4*(B40-1)+COUNTIF(B$5:B40,B40),"")</f>
        <v/>
      </c>
      <c r="D40" s="168"/>
      <c r="E40" s="4" t="str">
        <f>IF(AND(ISNUMBER(AanwezigReserve!F10),AanwezigReserve!F10&gt;=$F$1),AanwezigReserve!D10,"ZZZZ")</f>
        <v>ZZZZ</v>
      </c>
      <c r="F40" s="34" t="str">
        <f>IF(ISERROR(VLOOKUP(E40,AanwezigReserve!D:H,4,0)),"",IF(VLOOKUP(E40,AanwezigReserve!D:H,4,0)="G","Geen",""))</f>
        <v/>
      </c>
      <c r="G40" s="25" t="str">
        <f>IF(ISERROR(VLOOKUP(E40,AanwezigReserve!D:H,4,0)),"",VLOOKUP(E40,AanwezigReserve!D:H,5,0))</f>
        <v/>
      </c>
      <c r="H40" s="54"/>
      <c r="I40"/>
      <c r="J40" s="54"/>
      <c r="O40" s="2"/>
      <c r="T40" s="39"/>
      <c r="U40" s="1"/>
      <c r="V40" s="1"/>
      <c r="AB40" s="20" t="str">
        <f ca="1">P18</f>
        <v/>
      </c>
    </row>
    <row r="41" spans="1:32" ht="15.75" customHeight="1" thickTop="1" thickBot="1">
      <c r="A41" s="174">
        <f ca="1">IF(LEN(E41)&gt;5,IF(D41="R",9999,IF(ISERROR(MATCH(E41,AanwezigReserve!Y$3:Y$7,0)),TRUNC(10+RAND()*1000),TRUNC(RAND()*10))+IF(AND(F41="Geen",ISERROR(MATCH(E41,AanwezigReserve!Y$3:Y$7,0))),1100+RAND()*200,0)),10000)</f>
        <v>10000</v>
      </c>
      <c r="B41" s="18">
        <f ca="1">IFERROR(VLOOKUP(E41,AanwezigReserve!Y$3:Z$6,2,0),IF(COUNTIF(B$4:B40,B$2)&lt;3,B$2,IF(COUNTIF(B$4:B40,B40)&lt;4,B40,B40+1)))</f>
        <v>12</v>
      </c>
      <c r="C41" s="18" t="str">
        <f ca="1">IF(AND(B$2&lt;=B41,B41&lt;=C$2),4*(B41-1)+COUNTIF(B$5:B41,B41),"")</f>
        <v/>
      </c>
      <c r="D41" s="168"/>
      <c r="E41" s="4" t="str">
        <f>IF(AND(ISNUMBER(AanwezigReserve!F50),AanwezigReserve!F50&gt;=$F$1),AanwezigReserve!D50,"ZZZZ")</f>
        <v>ZZZZ</v>
      </c>
      <c r="F41" s="34" t="str">
        <f>IF(ISERROR(VLOOKUP(E41,AanwezigReserve!D:H,4,0)),"",IF(VLOOKUP(E41,AanwezigReserve!D:H,4,0)="G","Geen",""))</f>
        <v/>
      </c>
      <c r="G41" s="25" t="str">
        <f>IF(ISERROR(VLOOKUP(E41,AanwezigReserve!D:H,4,0)),"",VLOOKUP(E41,AanwezigReserve!D:H,5,0))</f>
        <v/>
      </c>
      <c r="H41" s="53"/>
      <c r="I41"/>
      <c r="J41" s="54"/>
      <c r="K41" s="200" t="e">
        <f ca="1">VLOOKUP(K11,AanwezigReserve!$D:$E,2,0)</f>
        <v>#N/A</v>
      </c>
      <c r="L41" s="102" t="e">
        <f ca="1">VLOOKUP(M11,AanwezigReserve!$D:$E,2,0)</f>
        <v>#N/A</v>
      </c>
      <c r="M41" s="102" t="e">
        <f ca="1">VLOOKUP(P11,AanwezigReserve!$D:$E,2,0)</f>
        <v>#N/A</v>
      </c>
      <c r="N41" s="39" t="e">
        <f ca="1">VLOOKUP(R11,AanwezigReserve!$D:$E,2,0)</f>
        <v>#N/A</v>
      </c>
      <c r="O41" s="39"/>
      <c r="P41" s="102" t="e">
        <f ca="1">VLOOKUP(K12,AanwezigReserve!$D:$E,2,0)</f>
        <v>#N/A</v>
      </c>
      <c r="Q41" s="102" t="e">
        <f ca="1">VLOOKUP(M12,AanwezigReserve!$D:$E,2,0)</f>
        <v>#N/A</v>
      </c>
      <c r="R41" s="102" t="e">
        <f ca="1">VLOOKUP(P12,AanwezigReserve!$D:$E,2,0)</f>
        <v>#N/A</v>
      </c>
      <c r="S41" s="39" t="e">
        <f ca="1">VLOOKUP(R12,AanwezigReserve!$D:$E,2,0)</f>
        <v>#N/A</v>
      </c>
      <c r="T41" s="13"/>
      <c r="U41" s="1"/>
      <c r="V41" s="1"/>
      <c r="AA41" s="7"/>
      <c r="AB41" s="20" t="str">
        <f ca="1">R18</f>
        <v/>
      </c>
    </row>
    <row r="42" spans="1:32" ht="15.75" customHeight="1" thickTop="1" thickBot="1">
      <c r="A42" s="174">
        <f ca="1">IF(LEN(E42)&gt;5,IF(D42="R",9999,IF(ISERROR(MATCH(E42,AanwezigReserve!Y$3:Y$7,0)),TRUNC(10+RAND()*1000),TRUNC(RAND()*10))+IF(AND(F42="Geen",ISERROR(MATCH(E42,AanwezigReserve!Y$3:Y$7,0))),1100+RAND()*200,0)),10000)</f>
        <v>10000</v>
      </c>
      <c r="B42" s="18">
        <f ca="1">IFERROR(VLOOKUP(E42,AanwezigReserve!Y$3:Z$6,2,0),IF(COUNTIF(B$4:B41,B$2)&lt;3,B$2,IF(COUNTIF(B$4:B41,B41)&lt;4,B41,B41+1)))</f>
        <v>12</v>
      </c>
      <c r="C42" s="18" t="str">
        <f ca="1">IF(AND(B$2&lt;=B42,B42&lt;=C$2),4*(B42-1)+COUNTIF(B$5:B42,B42),"")</f>
        <v/>
      </c>
      <c r="D42" s="168"/>
      <c r="E42" s="4" t="str">
        <f>IF(AND(ISNUMBER(AanwezigReserve!F49),AanwezigReserve!F49&gt;=$F$1),AanwezigReserve!D49,"ZZZZ")</f>
        <v>ZZZZ</v>
      </c>
      <c r="F42" s="34" t="str">
        <f>IF(ISERROR(VLOOKUP(E42,AanwezigReserve!D:H,4,0)),"",IF(VLOOKUP(E42,AanwezigReserve!D:H,4,0)="G","Geen",""))</f>
        <v/>
      </c>
      <c r="G42" s="25" t="str">
        <f>IF(ISERROR(VLOOKUP(E42,AanwezigReserve!D:H,4,0)),"",VLOOKUP(E42,AanwezigReserve!D:H,5,0))</f>
        <v/>
      </c>
      <c r="H42" s="54"/>
      <c r="I42"/>
      <c r="J42" s="54"/>
      <c r="T42" s="40"/>
      <c r="U42" s="1"/>
      <c r="V42" s="1"/>
      <c r="AA42" s="7">
        <f>AA38+1</f>
        <v>11</v>
      </c>
      <c r="AB42" s="19" t="str">
        <f ca="1">K19</f>
        <v/>
      </c>
    </row>
    <row r="43" spans="1:32" ht="15.75" customHeight="1" thickTop="1" thickBot="1">
      <c r="A43" s="174">
        <f ca="1">IF(LEN(E43)&gt;5,IF(D43="R",9999,IF(ISERROR(MATCH(E43,AanwezigReserve!Y$3:Y$7,0)),TRUNC(10+RAND()*1000),TRUNC(RAND()*10))+IF(AND(F43="Geen",ISERROR(MATCH(E43,AanwezigReserve!Y$3:Y$7,0))),1100+RAND()*200,0)),10000)</f>
        <v>10000</v>
      </c>
      <c r="B43" s="18">
        <f ca="1">IFERROR(VLOOKUP(E43,AanwezigReserve!Y$3:Z$6,2,0),IF(COUNTIF(B$4:B42,B$2)&lt;3,B$2,IF(COUNTIF(B$4:B42,B42)&lt;4,B42,B42+1)))</f>
        <v>12</v>
      </c>
      <c r="C43" s="18" t="str">
        <f ca="1">IF(AND(B$2&lt;=B43,B43&lt;=C$2),4*(B43-1)+COUNTIF(B$5:B43,B43),"")</f>
        <v/>
      </c>
      <c r="D43" s="168"/>
      <c r="E43" s="4" t="str">
        <f>IF(AND(ISNUMBER(AanwezigReserve!F34),AanwezigReserve!F34&gt;=$F$1),AanwezigReserve!D34,"ZZZZ")</f>
        <v>ZZZZ</v>
      </c>
      <c r="F43" s="34" t="str">
        <f>IF(ISERROR(VLOOKUP(E43,AanwezigReserve!D:H,4,0)),"",IF(VLOOKUP(E43,AanwezigReserve!D:H,4,0)="G","Geen",""))</f>
        <v/>
      </c>
      <c r="G43" s="25" t="str">
        <f>IF(ISERROR(VLOOKUP(E43,AanwezigReserve!D:H,4,0)),"",VLOOKUP(E43,AanwezigReserve!D:H,5,0))</f>
        <v/>
      </c>
      <c r="H43" s="54"/>
      <c r="I43"/>
      <c r="J43" s="54"/>
      <c r="K43" s="2"/>
      <c r="L43" s="2"/>
      <c r="N43" s="110">
        <f ca="1">N36</f>
        <v>46139</v>
      </c>
      <c r="O43" s="103"/>
      <c r="P43" s="103"/>
      <c r="Q43" s="103"/>
      <c r="R43" s="104"/>
      <c r="S43" s="110">
        <f ca="1">S36</f>
        <v>46139</v>
      </c>
      <c r="U43" s="1"/>
      <c r="V43" s="1"/>
      <c r="AB43" s="20" t="str">
        <f ca="1">M19</f>
        <v/>
      </c>
    </row>
    <row r="44" spans="1:32" s="1" customFormat="1" ht="15.75" customHeight="1" thickTop="1" thickBot="1">
      <c r="A44" s="174">
        <f ca="1">IF(LEN(E44)&gt;5,IF(D44="R",9999,IF(ISERROR(MATCH(E44,AanwezigReserve!Y$3:Y$7,0)),TRUNC(10+RAND()*1000),TRUNC(RAND()*10))+IF(AND(F44="Geen",ISERROR(MATCH(E44,AanwezigReserve!Y$3:Y$7,0))),1100+RAND()*200,0)),10000)</f>
        <v>10000</v>
      </c>
      <c r="B44" s="18">
        <f ca="1">IFERROR(VLOOKUP(E44,AanwezigReserve!Y$3:Z$6,2,0),IF(COUNTIF(B$4:B43,B$2)&lt;3,B$2,IF(COUNTIF(B$4:B43,B43)&lt;4,B43,B43+1)))</f>
        <v>12</v>
      </c>
      <c r="C44" s="18" t="str">
        <f ca="1">IF(AND(B$2&lt;=B44,B44&lt;=C$2),4*(B44-1)+COUNTIF(B$5:B44,B44),"")</f>
        <v/>
      </c>
      <c r="D44" s="168"/>
      <c r="E44" s="4" t="str">
        <f>IF(AND(ISNUMBER(AanwezigReserve!F15),AanwezigReserve!F15&gt;=$F$1),AanwezigReserve!D15,"ZZZZ")</f>
        <v>ZZZZ</v>
      </c>
      <c r="F44" s="34" t="str">
        <f>IF(ISERROR(VLOOKUP(E44,AanwezigReserve!D:H,4,0)),"",IF(VLOOKUP(E44,AanwezigReserve!D:H,4,0)="G","Geen",""))</f>
        <v/>
      </c>
      <c r="G44" s="25" t="str">
        <f>IF(ISERROR(VLOOKUP(E44,AanwezigReserve!D:H,4,0)),"",VLOOKUP(E44,AanwezigReserve!D:H,5,0))</f>
        <v/>
      </c>
      <c r="H44" s="54"/>
      <c r="J44" s="54"/>
      <c r="K44" s="2"/>
      <c r="L44" s="2"/>
      <c r="M44" s="7"/>
      <c r="N44" s="7"/>
      <c r="O44" s="199"/>
      <c r="P44" s="199"/>
      <c r="Q44" s="199"/>
      <c r="R44" s="7"/>
      <c r="S44" s="7"/>
      <c r="T44" s="8"/>
      <c r="AA44"/>
      <c r="AB44" s="20" t="str">
        <f ca="1">P19</f>
        <v/>
      </c>
      <c r="AF44"/>
    </row>
    <row r="45" spans="1:32" s="1" customFormat="1" ht="15.75" customHeight="1" thickTop="1" thickBot="1">
      <c r="A45" s="174">
        <f ca="1">IF(LEN(E45)&gt;5,IF(D45="R",9999,IF(ISERROR(MATCH(E45,AanwezigReserve!Y$3:Y$7,0)),TRUNC(10+RAND()*1000),TRUNC(RAND()*10))+IF(AND(F45="Geen",ISERROR(MATCH(E45,AanwezigReserve!Y$3:Y$7,0))),1100+RAND()*200,0)),10000)</f>
        <v>10000</v>
      </c>
      <c r="B45" s="18">
        <f ca="1">IFERROR(VLOOKUP(E45,AanwezigReserve!Y$3:Z$6,2,0),IF(COUNTIF(B$4:B44,B$2)&lt;3,B$2,IF(COUNTIF(B$4:B44,B44)&lt;4,B44,B44+1)))</f>
        <v>13</v>
      </c>
      <c r="C45" s="18" t="str">
        <f ca="1">IF(AND(B$2&lt;=B45,B45&lt;=C$2),4*(B45-1)+COUNTIF(B$5:B45,B45),"")</f>
        <v/>
      </c>
      <c r="D45" s="168"/>
      <c r="E45" s="4" t="str">
        <f>IF(AND(ISNUMBER(AanwezigReserve!F17),AanwezigReserve!F17&gt;=$F$1),AanwezigReserve!D17,"ZZZZ")</f>
        <v>ZZZZ</v>
      </c>
      <c r="F45" s="34" t="str">
        <f>IF(ISERROR(VLOOKUP(E45,AanwezigReserve!D:H,4,0)),"",IF(VLOOKUP(E45,AanwezigReserve!D:H,4,0)="G","Geen",""))</f>
        <v/>
      </c>
      <c r="G45" s="25" t="str">
        <f>IF(ISERROR(VLOOKUP(E45,AanwezigReserve!D:H,4,0)),"",VLOOKUP(E45,AanwezigReserve!D:H,5,0))</f>
        <v/>
      </c>
      <c r="H45" s="53"/>
      <c r="J45" s="54"/>
      <c r="K45" s="2"/>
      <c r="L45" s="7"/>
      <c r="M45" s="193">
        <f>M38</f>
        <v>5</v>
      </c>
      <c r="N45" s="194">
        <f>J13</f>
        <v>5</v>
      </c>
      <c r="O45" s="2"/>
      <c r="P45" s="2"/>
      <c r="Q45" s="7"/>
      <c r="R45" s="101">
        <f>R38</f>
        <v>5</v>
      </c>
      <c r="S45" s="192">
        <f>J14</f>
        <v>6</v>
      </c>
      <c r="T45" s="8"/>
      <c r="AA45" s="7"/>
      <c r="AB45" s="20" t="str">
        <f ca="1">R19</f>
        <v/>
      </c>
      <c r="AC45"/>
      <c r="AD45"/>
      <c r="AE45"/>
      <c r="AF45"/>
    </row>
    <row r="46" spans="1:32" s="1" customFormat="1" ht="15.75" customHeight="1" thickTop="1" thickBot="1">
      <c r="A46" s="174">
        <f ca="1">IF(LEN(E46)&gt;5,IF(D46="R",9999,IF(ISERROR(MATCH(E46,AanwezigReserve!Y$3:Y$7,0)),TRUNC(10+RAND()*1000),TRUNC(RAND()*10))+IF(AND(F46="Geen",ISERROR(MATCH(E46,AanwezigReserve!Y$3:Y$7,0))),1100+RAND()*200,0)),10000)</f>
        <v>10000</v>
      </c>
      <c r="B46" s="18">
        <f ca="1">IFERROR(VLOOKUP(E46,AanwezigReserve!Y$3:Z$6,2,0),IF(COUNTIF(B$4:B45,B$2)&lt;3,B$2,IF(COUNTIF(B$4:B45,B45)&lt;4,B45,B45+1)))</f>
        <v>13</v>
      </c>
      <c r="C46" s="18" t="str">
        <f ca="1">IF(AND(B$2&lt;=B46,B46&lt;=C$2),4*(B46-1)+COUNTIF(B$5:B46,B46),"")</f>
        <v/>
      </c>
      <c r="D46" s="168"/>
      <c r="E46" s="4" t="str">
        <f>IF(AND(ISNUMBER(AanwezigReserve!F41),AanwezigReserve!F41&gt;=$F$1),AanwezigReserve!D41,"ZZZZ")</f>
        <v>ZZZZ</v>
      </c>
      <c r="F46" s="34" t="str">
        <f>IF(ISERROR(VLOOKUP(E46,AanwezigReserve!D:H,4,0)),"",IF(VLOOKUP(E46,AanwezigReserve!D:H,4,0)="G","Geen",""))</f>
        <v/>
      </c>
      <c r="G46" s="25" t="str">
        <f>IF(ISERROR(VLOOKUP(E46,AanwezigReserve!D:H,4,0)),"",VLOOKUP(E46,AanwezigReserve!D:H,5,0))</f>
        <v/>
      </c>
      <c r="H46" s="53"/>
      <c r="J46" s="54"/>
      <c r="K46" s="2"/>
      <c r="L46" s="7"/>
      <c r="M46" s="101"/>
      <c r="N46" s="11"/>
      <c r="O46" s="2"/>
      <c r="P46" s="2"/>
      <c r="Q46" s="7"/>
      <c r="R46" s="101"/>
      <c r="S46" s="11"/>
      <c r="T46" s="39"/>
      <c r="AA46" s="7">
        <f>AA42+1</f>
        <v>12</v>
      </c>
      <c r="AB46" s="19" t="str">
        <f ca="1">K20</f>
        <v/>
      </c>
    </row>
    <row r="47" spans="1:32" s="1" customFormat="1" ht="15.75" customHeight="1" thickTop="1" thickBot="1">
      <c r="A47" s="174">
        <f ca="1">IF(LEN(E47)&gt;5,IF(D47="R",9999,IF(ISERROR(MATCH(E47,AanwezigReserve!Y$3:Y$7,0)),TRUNC(10+RAND()*1000),TRUNC(RAND()*10))+IF(AND(F47="Geen",ISERROR(MATCH(E47,AanwezigReserve!Y$3:Y$7,0))),1100+RAND()*200,0)),10000)</f>
        <v>10000</v>
      </c>
      <c r="B47" s="18">
        <f ca="1">IFERROR(VLOOKUP(E47,AanwezigReserve!Y$3:Z$6,2,0),IF(COUNTIF(B$4:B46,B$2)&lt;3,B$2,IF(COUNTIF(B$4:B46,B46)&lt;4,B46,B46+1)))</f>
        <v>13</v>
      </c>
      <c r="C47" s="18" t="str">
        <f ca="1">IF(AND(B$2&lt;=B47,B47&lt;=C$2),4*(B47-1)+COUNTIF(B$5:B47,B47),"")</f>
        <v/>
      </c>
      <c r="D47" s="168"/>
      <c r="E47" s="4" t="str">
        <f>IF(AND(ISNUMBER(AanwezigReserve!F53),AanwezigReserve!F53&gt;=$F$1),AanwezigReserve!D53,"ZZZZ")</f>
        <v>ZZZZ</v>
      </c>
      <c r="F47" s="34" t="str">
        <f>IF(ISERROR(VLOOKUP(E47,AanwezigReserve!D:H,4,0)),"",IF(VLOOKUP(E47,AanwezigReserve!D:H,4,0)="G","Geen",""))</f>
        <v/>
      </c>
      <c r="G47" s="25" t="str">
        <f>IF(ISERROR(VLOOKUP(E47,AanwezigReserve!D:H,4,0)),"",VLOOKUP(E47,AanwezigReserve!D:H,5,0))</f>
        <v/>
      </c>
      <c r="H47" s="54"/>
      <c r="J47" s="54"/>
      <c r="O47" s="2"/>
      <c r="T47" s="8"/>
      <c r="AA47"/>
      <c r="AB47" s="20" t="str">
        <f ca="1">M20</f>
        <v/>
      </c>
    </row>
    <row r="48" spans="1:32" s="1" customFormat="1" ht="15.75" customHeight="1" thickTop="1" thickBot="1">
      <c r="A48" s="174">
        <f ca="1">IF(LEN(E48)&gt;5,IF(D48="R",9999,IF(ISERROR(MATCH(E48,AanwezigReserve!Y$3:Y$7,0)),TRUNC(10+RAND()*1000),TRUNC(RAND()*10))+IF(AND(F48="Geen",ISERROR(MATCH(E48,AanwezigReserve!Y$3:Y$7,0))),1100+RAND()*200,0)),10000)</f>
        <v>10000</v>
      </c>
      <c r="B48" s="18">
        <f ca="1">IFERROR(VLOOKUP(E48,AanwezigReserve!Y$3:Z$6,2,0),IF(COUNTIF(B$4:B47,B$2)&lt;3,B$2,IF(COUNTIF(B$4:B47,B47)&lt;4,B47,B47+1)))</f>
        <v>13</v>
      </c>
      <c r="C48" s="18" t="str">
        <f ca="1">IF(AND(B$2&lt;=B48,B48&lt;=C$2),4*(B48-1)+COUNTIF(B$5:B48,B48),"")</f>
        <v/>
      </c>
      <c r="D48" s="168"/>
      <c r="E48" s="4" t="str">
        <f>IF(AND(ISNUMBER(AanwezigReserve!F31),AanwezigReserve!F31&gt;=$F$1),AanwezigReserve!D31,"ZZZZ")</f>
        <v>ZZZZ</v>
      </c>
      <c r="F48" s="34" t="str">
        <f>IF(ISERROR(VLOOKUP(E48,AanwezigReserve!D:H,4,0)),"",IF(VLOOKUP(E48,AanwezigReserve!D:H,4,0)="G","Geen",""))</f>
        <v/>
      </c>
      <c r="G48" s="25" t="str">
        <f>IF(ISERROR(VLOOKUP(E48,AanwezigReserve!D:H,4,0)),"",VLOOKUP(E48,AanwezigReserve!D:H,5,0))</f>
        <v/>
      </c>
      <c r="H48" s="53"/>
      <c r="J48" s="54"/>
      <c r="K48" s="200" t="e">
        <f ca="1">VLOOKUP(K13,AanwezigReserve!$D:$E,2,0)</f>
        <v>#N/A</v>
      </c>
      <c r="L48" s="102" t="e">
        <f ca="1">VLOOKUP(M13,AanwezigReserve!$D:$E,2,0)</f>
        <v>#N/A</v>
      </c>
      <c r="M48" s="102" t="e">
        <f ca="1">VLOOKUP(P13,AanwezigReserve!$D:$E,2,0)</f>
        <v>#N/A</v>
      </c>
      <c r="N48" s="39" t="e">
        <f ca="1">VLOOKUP(R13,AanwezigReserve!$D:$E,2,0)</f>
        <v>#N/A</v>
      </c>
      <c r="O48" s="39"/>
      <c r="P48" s="102" t="e">
        <f ca="1">VLOOKUP(K14,AanwezigReserve!$D:$E,2,0)</f>
        <v>#N/A</v>
      </c>
      <c r="Q48" s="102" t="e">
        <f ca="1">VLOOKUP(M14,AanwezigReserve!$D:$E,2,0)</f>
        <v>#N/A</v>
      </c>
      <c r="R48" s="102" t="e">
        <f ca="1">VLOOKUP(P14,AanwezigReserve!$D:$E,2,0)</f>
        <v>#N/A</v>
      </c>
      <c r="S48" s="39" t="e">
        <f ca="1">VLOOKUP(R14,AanwezigReserve!$D:$E,2,0)</f>
        <v>#N/A</v>
      </c>
      <c r="T48" s="40"/>
      <c r="AA48"/>
      <c r="AB48" s="20" t="str">
        <f ca="1">P20</f>
        <v/>
      </c>
    </row>
    <row r="49" spans="1:28" s="1" customFormat="1" ht="15.75" customHeight="1" thickTop="1" thickBot="1">
      <c r="A49" s="174">
        <f ca="1">IF(LEN(E49)&gt;5,IF(D49="R",9999,IF(ISERROR(MATCH(E49,AanwezigReserve!Y$3:Y$7,0)),TRUNC(10+RAND()*1000),TRUNC(RAND()*10))+IF(AND(F49="Geen",ISERROR(MATCH(E49,AanwezigReserve!Y$3:Y$7,0))),1100+RAND()*200,0)),10000)</f>
        <v>10000</v>
      </c>
      <c r="B49" s="18">
        <f ca="1">IFERROR(VLOOKUP(E49,AanwezigReserve!Y$3:Z$6,2,0),IF(COUNTIF(B$4:B48,B$2)&lt;3,B$2,IF(COUNTIF(B$4:B48,B48)&lt;4,B48,B48+1)))</f>
        <v>14</v>
      </c>
      <c r="C49" s="18" t="str">
        <f ca="1">IF(AND(B$2&lt;=B49,B49&lt;=C$2),4*(B49-1)+COUNTIF(B$5:B49,B49),"")</f>
        <v/>
      </c>
      <c r="D49" s="168"/>
      <c r="E49" s="4" t="str">
        <f>IF(AND(ISNUMBER(AanwezigReserve!F46),AanwezigReserve!F46&gt;=$F$1),AanwezigReserve!D46,"ZZZZ")</f>
        <v>ZZZZ</v>
      </c>
      <c r="F49" s="34" t="str">
        <f>IF(ISERROR(VLOOKUP(E49,AanwezigReserve!D:H,4,0)),"",IF(VLOOKUP(E49,AanwezigReserve!D:H,4,0)="G","Geen",""))</f>
        <v/>
      </c>
      <c r="G49" s="25" t="str">
        <f>IF(ISERROR(VLOOKUP(E49,AanwezigReserve!D:H,4,0)),"",VLOOKUP(E49,AanwezigReserve!D:H,5,0))</f>
        <v/>
      </c>
      <c r="H49" s="53"/>
      <c r="J49" s="54"/>
      <c r="AA49" s="7"/>
      <c r="AB49" s="20" t="str">
        <f ca="1">R20</f>
        <v/>
      </c>
    </row>
    <row r="50" spans="1:28" s="1" customFormat="1" ht="15.75" customHeight="1" thickTop="1" thickBot="1">
      <c r="A50" s="174">
        <f ca="1">IF(LEN(E50)&gt;5,IF(D50="R",9999,IF(ISERROR(MATCH(E50,AanwezigReserve!Y$3:Y$7,0)),TRUNC(10+RAND()*1000),TRUNC(RAND()*10))+IF(AND(F50="Geen",ISERROR(MATCH(E50,AanwezigReserve!Y$3:Y$7,0))),1100+RAND()*200,0)),10000)</f>
        <v>10000</v>
      </c>
      <c r="B50" s="18">
        <f ca="1">IFERROR(VLOOKUP(E50,AanwezigReserve!Y$3:Z$6,2,0),IF(COUNTIF(B$4:B49,B$2)&lt;3,B$2,IF(COUNTIF(B$4:B49,B49)&lt;4,B49,B49+1)))</f>
        <v>14</v>
      </c>
      <c r="C50" s="18" t="str">
        <f ca="1">IF(AND(B$2&lt;=B50,B50&lt;=C$2),4*(B50-1)+COUNTIF(B$5:B50,B50),"")</f>
        <v/>
      </c>
      <c r="D50" s="168"/>
      <c r="E50" s="4" t="str">
        <f>IF(AND(ISNUMBER(AanwezigReserve!F47),AanwezigReserve!F47&gt;=$F$1),AanwezigReserve!D47,"ZZZZ")</f>
        <v>ZZZZ</v>
      </c>
      <c r="F50" s="34" t="str">
        <f>IF(ISERROR(VLOOKUP(E50,AanwezigReserve!D:H,4,0)),"",IF(VLOOKUP(E50,AanwezigReserve!D:H,4,0)="G","Geen",""))</f>
        <v/>
      </c>
      <c r="G50" s="25" t="str">
        <f>IF(ISERROR(VLOOKUP(E50,AanwezigReserve!D:H,4,0)),"",VLOOKUP(E50,AanwezigReserve!D:H,5,0))</f>
        <v/>
      </c>
      <c r="H50" s="53"/>
      <c r="J50" s="54"/>
      <c r="K50" s="2"/>
      <c r="L50" s="2"/>
      <c r="N50" s="110">
        <f ca="1">N43</f>
        <v>46139</v>
      </c>
      <c r="O50" s="105"/>
      <c r="P50" s="105"/>
      <c r="Q50" s="105"/>
      <c r="R50" s="106"/>
      <c r="S50" s="110">
        <f ca="1">S43</f>
        <v>46139</v>
      </c>
      <c r="T50" s="12"/>
      <c r="AA50" s="1">
        <f>AA46+1</f>
        <v>13</v>
      </c>
      <c r="AB50" s="19" t="str">
        <f ca="1">K21</f>
        <v/>
      </c>
    </row>
    <row r="51" spans="1:28" s="1" customFormat="1" ht="15.75" customHeight="1" thickTop="1" thickBot="1">
      <c r="A51" s="174">
        <f ca="1">IF(LEN(E51)&gt;5,IF(D51="R",9999,IF(ISERROR(MATCH(E51,AanwezigReserve!Y$3:Y$7,0)),TRUNC(10+RAND()*1000),TRUNC(RAND()*10))+IF(AND(F51="Geen",ISERROR(MATCH(E51,AanwezigReserve!Y$3:Y$7,0))),1100+RAND()*200,0)),10000)</f>
        <v>10000</v>
      </c>
      <c r="B51" s="18">
        <f ca="1">IFERROR(VLOOKUP(E51,AanwezigReserve!Y$3:Z$6,2,0),IF(COUNTIF(B$4:B50,B$2)&lt;3,B$2,IF(COUNTIF(B$4:B50,B50)&lt;4,B50,B50+1)))</f>
        <v>14</v>
      </c>
      <c r="C51" s="18" t="str">
        <f ca="1">IF(AND(B$2&lt;=B51,B51&lt;=C$2),4*(B51-1)+COUNTIF(B$5:B51,B51),"")</f>
        <v/>
      </c>
      <c r="D51" s="168"/>
      <c r="E51" s="4" t="str">
        <f>IF(AND(ISNUMBER(AanwezigReserve!F51),AanwezigReserve!F51&gt;=$F$1),AanwezigReserve!D51,"ZZZZ")</f>
        <v>ZZZZ</v>
      </c>
      <c r="F51" s="34" t="str">
        <f>IF(ISERROR(VLOOKUP(E51,AanwezigReserve!D:H,4,0)),"",IF(VLOOKUP(E51,AanwezigReserve!D:H,4,0)="G","Geen",""))</f>
        <v/>
      </c>
      <c r="G51" s="25" t="str">
        <f>IF(ISERROR(VLOOKUP(E51,AanwezigReserve!D:H,4,0)),"",VLOOKUP(E51,AanwezigReserve!D:H,5,0))</f>
        <v/>
      </c>
      <c r="H51" s="53"/>
      <c r="J51" s="54"/>
      <c r="K51" s="2"/>
      <c r="L51" s="2"/>
      <c r="T51" s="8"/>
      <c r="AB51" s="20" t="str">
        <f ca="1">M20</f>
        <v/>
      </c>
    </row>
    <row r="52" spans="1:28" s="1" customFormat="1" ht="15.75" customHeight="1" thickTop="1" thickBot="1">
      <c r="A52" s="174">
        <f ca="1">IF(LEN(E52)&gt;5,IF(D52="R",9999,IF(ISERROR(MATCH(E52,AanwezigReserve!Y$3:Y$7,0)),TRUNC(10+RAND()*1000),TRUNC(RAND()*10))+IF(AND(F52="Geen",ISERROR(MATCH(E52,AanwezigReserve!Y$3:Y$7,0))),1100+RAND()*200,0)),10000)</f>
        <v>10000</v>
      </c>
      <c r="B52" s="18">
        <f ca="1">IFERROR(VLOOKUP(E52,AanwezigReserve!Y$3:Z$6,2,0),IF(COUNTIF(B$4:B51,B$2)&lt;3,B$2,IF(COUNTIF(B$4:B51,B51)&lt;4,B51,B51+1)))</f>
        <v>14</v>
      </c>
      <c r="C52" s="18" t="str">
        <f ca="1">IF(AND(B$2&lt;=B52,B52&lt;=C$2),4*(B52-1)+COUNTIF(B$5:B52,B52),"")</f>
        <v/>
      </c>
      <c r="D52" s="168"/>
      <c r="E52" s="4" t="str">
        <f>IF(AND(ISNUMBER(AanwezigReserve!F26),AanwezigReserve!F26&gt;=$F$1),AanwezigReserve!D26,"ZZZZ")</f>
        <v>ZZZZ</v>
      </c>
      <c r="F52" s="34" t="str">
        <f>IF(ISERROR(VLOOKUP(E52,AanwezigReserve!D:H,4,0)),"",IF(VLOOKUP(E52,AanwezigReserve!D:H,4,0)="G","Geen",""))</f>
        <v/>
      </c>
      <c r="G52" s="25" t="str">
        <f>IF(ISERROR(VLOOKUP(E52,AanwezigReserve!D:H,4,0)),"",VLOOKUP(E52,AanwezigReserve!D:H,5,0))</f>
        <v/>
      </c>
      <c r="H52" s="53"/>
      <c r="J52" s="54"/>
      <c r="K52" s="2"/>
      <c r="L52" s="7"/>
      <c r="M52" s="193">
        <f>M45</f>
        <v>5</v>
      </c>
      <c r="N52" s="194">
        <f>J15</f>
        <v>7</v>
      </c>
      <c r="O52" s="2"/>
      <c r="P52" s="2"/>
      <c r="Q52" s="7"/>
      <c r="R52" s="101">
        <f>R45</f>
        <v>5</v>
      </c>
      <c r="S52" s="192">
        <f>J16</f>
        <v>8</v>
      </c>
      <c r="T52" s="39"/>
      <c r="AB52" s="20" t="str">
        <f ca="1">P20</f>
        <v/>
      </c>
    </row>
    <row r="53" spans="1:28" s="1" customFormat="1" ht="15.75" customHeight="1" thickTop="1" thickBot="1">
      <c r="A53" s="174">
        <f ca="1">IF(LEN(E53)&gt;5,IF(D53="R",9999,IF(ISERROR(MATCH(E53,AanwezigReserve!Y$3:Y$7,0)),TRUNC(10+RAND()*1000),TRUNC(RAND()*10))+IF(AND(F53="Geen",ISERROR(MATCH(E53,AanwezigReserve!Y$3:Y$7,0))),1100+RAND()*200,0)),10000)</f>
        <v>10000</v>
      </c>
      <c r="B53" s="18">
        <f ca="1">IFERROR(VLOOKUP(E53,AanwezigReserve!Y$3:Z$6,2,0),IF(COUNTIF(B$4:B52,B$2)&lt;3,B$2,IF(COUNTIF(B$4:B52,B52)&lt;4,B52,B52+1)))</f>
        <v>15</v>
      </c>
      <c r="C53" s="18" t="str">
        <f ca="1">IF(AND(B$2&lt;=B53,B53&lt;=C$2),4*(B53-1)+COUNTIF(B$5:B53,B53),"")</f>
        <v/>
      </c>
      <c r="D53" s="168"/>
      <c r="E53" s="4" t="str">
        <f>IF(AND(ISNUMBER(AanwezigReserve!F38),AanwezigReserve!F38&gt;=$F$1),AanwezigReserve!D38,"ZZZZ")</f>
        <v>ZZZZ</v>
      </c>
      <c r="F53" s="34" t="str">
        <f>IF(ISERROR(VLOOKUP(E53,AanwezigReserve!D:H,4,0)),"",IF(VLOOKUP(E53,AanwezigReserve!D:H,4,0)="G","Geen",""))</f>
        <v/>
      </c>
      <c r="G53" s="25" t="str">
        <f>IF(ISERROR(VLOOKUP(E53,AanwezigReserve!D:H,4,0)),"",VLOOKUP(E53,AanwezigReserve!D:H,5,0))</f>
        <v/>
      </c>
      <c r="H53" s="53"/>
      <c r="J53" s="54"/>
      <c r="K53" s="2"/>
      <c r="L53" s="7"/>
      <c r="M53" s="101"/>
      <c r="N53" s="11"/>
      <c r="O53" s="2"/>
      <c r="P53" s="2"/>
      <c r="Q53" s="7"/>
      <c r="R53" s="101"/>
      <c r="S53" s="11"/>
      <c r="T53" s="8"/>
      <c r="AB53" s="20" t="str">
        <f ca="1">R20</f>
        <v/>
      </c>
    </row>
    <row r="54" spans="1:28" s="1" customFormat="1" ht="15.75" customHeight="1" thickTop="1" thickBot="1">
      <c r="A54" s="174">
        <f ca="1">IF(LEN(E54)&gt;5,IF(D54="R",9999,IF(ISERROR(MATCH(E54,AanwezigReserve!Y$3:Y$7,0)),TRUNC(10+RAND()*1000),TRUNC(RAND()*10))+IF(AND(F54="Geen",ISERROR(MATCH(E54,AanwezigReserve!Y$3:Y$7,0))),1100+RAND()*200,0)),10000)</f>
        <v>10000</v>
      </c>
      <c r="B54" s="18">
        <f ca="1">IFERROR(VLOOKUP(E54,AanwezigReserve!Y$3:Z$6,2,0),IF(COUNTIF(B$4:B53,B$2)&lt;3,B$2,IF(COUNTIF(B$4:B53,B53)&lt;4,B53,B53+1)))</f>
        <v>15</v>
      </c>
      <c r="C54" s="18" t="str">
        <f ca="1">IF(AND(B$2&lt;=B54,B54&lt;=C$2),4*(B54-1)+COUNTIF(B$5:B54,B54),"")</f>
        <v/>
      </c>
      <c r="D54" s="168"/>
      <c r="E54" s="4" t="str">
        <f>IF(AND(ISNUMBER(AanwezigReserve!F3),AanwezigReserve!F3&gt;=$F$1),AanwezigReserve!D3,"ZZZZ")</f>
        <v>ZZZZ</v>
      </c>
      <c r="F54" s="34" t="str">
        <f>IF(ISERROR(VLOOKUP(E54,AanwezigReserve!D:H,4,0)),"",IF(VLOOKUP(E54,AanwezigReserve!D:H,4,0)="G","Geen",""))</f>
        <v/>
      </c>
      <c r="G54" s="25" t="str">
        <f>IF(ISERROR(VLOOKUP(E54,AanwezigReserve!D:H,4,0)),"",VLOOKUP(E54,AanwezigReserve!D:H,5,0))</f>
        <v/>
      </c>
      <c r="H54" s="53"/>
      <c r="J54" s="54"/>
      <c r="O54" s="2"/>
      <c r="T54" s="40"/>
      <c r="AA54" s="1">
        <f>AA50+1</f>
        <v>14</v>
      </c>
      <c r="AB54" s="19" t="str">
        <f ca="1">K22</f>
        <v/>
      </c>
    </row>
    <row r="55" spans="1:28" s="1" customFormat="1" ht="15.75" customHeight="1" thickTop="1" thickBot="1">
      <c r="A55" s="174">
        <f ca="1">IF(LEN(E55)&gt;5,IF(D55="R",9999,IF(ISERROR(MATCH(E55,AanwezigReserve!Y$3:Y$7,0)),TRUNC(10+RAND()*1000),TRUNC(RAND()*10))+IF(AND(F55="Geen",ISERROR(MATCH(E55,AanwezigReserve!Y$3:Y$7,0))),1100+RAND()*200,0)),10000)</f>
        <v>10000</v>
      </c>
      <c r="B55" s="18">
        <f ca="1">IFERROR(VLOOKUP(E55,AanwezigReserve!Y$3:Z$6,2,0),IF(COUNTIF(B$4:B54,B$2)&lt;3,B$2,IF(COUNTIF(B$4:B54,B54)&lt;4,B54,B54+1)))</f>
        <v>15</v>
      </c>
      <c r="C55" s="18" t="str">
        <f ca="1">IF(AND(B$2&lt;=B55,B55&lt;=C$2),4*(B55-1)+COUNTIF(B$5:B55,B55),"")</f>
        <v/>
      </c>
      <c r="D55" s="169"/>
      <c r="E55" s="4" t="str">
        <f>IF(AND(ISNUMBER(AanwezigReserve!F54),AanwezigReserve!F54&gt;=$F$1),AanwezigReserve!D54,"ZZZZ")</f>
        <v>ZZZZ</v>
      </c>
      <c r="F55" s="34" t="str">
        <f>IF(ISERROR(VLOOKUP(E55,AanwezigReserve!D:H,4,0)),"",IF(VLOOKUP(E55,AanwezigReserve!D:H,4,0)="G","Geen",""))</f>
        <v/>
      </c>
      <c r="G55" s="25" t="str">
        <f>IF(ISERROR(VLOOKUP(E55,AanwezigReserve!D:H,4,0)),"",VLOOKUP(E55,AanwezigReserve!D:H,5,0))</f>
        <v/>
      </c>
      <c r="H55" s="53"/>
      <c r="J55" s="54"/>
      <c r="K55" s="200" t="e">
        <f ca="1">VLOOKUP(K15,AanwezigReserve!$D:$E,2,0)</f>
        <v>#N/A</v>
      </c>
      <c r="L55" s="102" t="e">
        <f ca="1">VLOOKUP(M15,AanwezigReserve!$D:$E,2,0)</f>
        <v>#N/A</v>
      </c>
      <c r="M55" s="102" t="e">
        <f ca="1">VLOOKUP(P15,AanwezigReserve!$D:$E,2,0)</f>
        <v>#N/A</v>
      </c>
      <c r="N55" s="39" t="e">
        <f ca="1">VLOOKUP(R15,AanwezigReserve!$D:$E,2,0)</f>
        <v>#N/A</v>
      </c>
      <c r="O55" s="39"/>
      <c r="P55" s="102" t="e">
        <f ca="1">VLOOKUP(K16,AanwezigReserve!$D:$E,2,0)</f>
        <v>#N/A</v>
      </c>
      <c r="Q55" s="102" t="e">
        <f ca="1">VLOOKUP(M16,AanwezigReserve!$D:$E,2,0)</f>
        <v>#N/A</v>
      </c>
      <c r="R55" s="102" t="e">
        <f ca="1">VLOOKUP(P16,AanwezigReserve!$D:$E,2,0)</f>
        <v>#N/A</v>
      </c>
      <c r="S55" s="39" t="e">
        <f ca="1">VLOOKUP(R16,AanwezigReserve!$D:$E,2,0)</f>
        <v>#N/A</v>
      </c>
      <c r="AB55" s="20" t="str">
        <f ca="1">M22</f>
        <v/>
      </c>
    </row>
    <row r="56" spans="1:28" s="1" customFormat="1" ht="15.75" customHeight="1" thickTop="1" thickBot="1">
      <c r="A56" s="174">
        <f ca="1">IF(LEN(E56)&gt;5,IF(D56="R",9999,IF(ISERROR(MATCH(E56,AanwezigReserve!Y$3:Y$7,0)),TRUNC(10+RAND()*1000),TRUNC(RAND()*10))+IF(AND(F56="Geen",ISERROR(MATCH(E56,AanwezigReserve!Y$3:Y$7,0))),1100+RAND()*200,0)),10000)</f>
        <v>10000</v>
      </c>
      <c r="B56" s="18">
        <f ca="1">IFERROR(VLOOKUP(E56,AanwezigReserve!Y$3:Z$6,2,0),IF(COUNTIF(B$4:B55,B$2)&lt;3,B$2,IF(COUNTIF(B$4:B55,B55)&lt;4,B55,B55+1)))</f>
        <v>15</v>
      </c>
      <c r="C56" s="18" t="str">
        <f ca="1">IF(AND(B$2&lt;=B56,B56&lt;=C$2),4*(B56-1)+COUNTIF(B$5:B56,B56),"")</f>
        <v/>
      </c>
      <c r="D56" s="168"/>
      <c r="E56" s="4" t="str">
        <f>IF(AND(ISNUMBER(AanwezigReserve!F55),AanwezigReserve!F55&gt;=$F$1),AanwezigReserve!D55,"ZZZZ")</f>
        <v>ZZZZ</v>
      </c>
      <c r="F56" s="34" t="str">
        <f>IF(ISERROR(VLOOKUP(E56,AanwezigReserve!D:H,4,0)),"",IF(VLOOKUP(E56,AanwezigReserve!D:H,4,0)="G","Geen",""))</f>
        <v/>
      </c>
      <c r="G56" s="25" t="str">
        <f>IF(ISERROR(VLOOKUP(E56,AanwezigReserve!D:H,4,0)),"",VLOOKUP(E56,AanwezigReserve!D:H,5,0))</f>
        <v/>
      </c>
      <c r="H56" s="53"/>
      <c r="J56" s="54"/>
      <c r="T56" s="12"/>
      <c r="AB56" s="20" t="str">
        <f ca="1">P22</f>
        <v/>
      </c>
    </row>
    <row r="57" spans="1:28" s="1" customFormat="1" ht="15.75" customHeight="1" thickTop="1" thickBot="1">
      <c r="A57" s="174">
        <f ca="1">IF(LEN(E57)&gt;5,IF(D57="R",9999,IF(ISERROR(MATCH(E57,AanwezigReserve!Y$3:Y$7,0)),TRUNC(10+RAND()*1000),TRUNC(RAND()*10))+IF(AND(F57="Geen",ISERROR(MATCH(E57,AanwezigReserve!Y$3:Y$7,0))),1100+RAND()*200,0)),10000)</f>
        <v>10000</v>
      </c>
      <c r="B57" s="18">
        <f ca="1">IFERROR(VLOOKUP(E57,AanwezigReserve!Y$3:Z$6,2,0),IF(COUNTIF(B$4:B56,B$2)&lt;3,B$2,IF(COUNTIF(B$4:B56,B56)&lt;4,B56,B56+1)))</f>
        <v>16</v>
      </c>
      <c r="C57" s="18" t="str">
        <f ca="1">IF(AND(B$2&lt;=B57,B57&lt;=C$2),4*(B57-1)+COUNTIF(B$5:B57,B57),"")</f>
        <v/>
      </c>
      <c r="D57" s="168"/>
      <c r="E57" s="4" t="str">
        <f>IF(AND(ISNUMBER(AanwezigReserve!F56),AanwezigReserve!F56&gt;=$F$1),AanwezigReserve!D56,"ZZZZ")</f>
        <v>ZZZZ</v>
      </c>
      <c r="F57" s="34" t="str">
        <f>IF(ISERROR(VLOOKUP(E57,AanwezigReserve!D:H,4,0)),"",IF(VLOOKUP(E57,AanwezigReserve!D:H,4,0)="G","Geen",""))</f>
        <v/>
      </c>
      <c r="G57" s="25" t="str">
        <f>IF(ISERROR(VLOOKUP(E57,AanwezigReserve!D:H,4,0)),"",VLOOKUP(E57,AanwezigReserve!D:H,5,0))</f>
        <v/>
      </c>
      <c r="H57" s="53"/>
      <c r="J57" s="54"/>
      <c r="K57" s="2"/>
      <c r="L57" s="2"/>
      <c r="N57" s="110">
        <f ca="1">N50</f>
        <v>46139</v>
      </c>
      <c r="O57" s="105"/>
      <c r="P57" s="105"/>
      <c r="Q57" s="105"/>
      <c r="R57" s="106"/>
      <c r="S57" s="110">
        <f ca="1">S50</f>
        <v>46139</v>
      </c>
      <c r="T57" s="8"/>
      <c r="AB57" s="20" t="str">
        <f ca="1">R22</f>
        <v/>
      </c>
    </row>
    <row r="58" spans="1:28" s="1" customFormat="1" ht="15.75" customHeight="1" thickTop="1" thickBot="1">
      <c r="A58" s="174">
        <f ca="1">IF(LEN(E58)&gt;5,IF(D58="R",9999,IF(ISERROR(MATCH(E58,AanwezigReserve!Y$3:Y$7,0)),TRUNC(10+RAND()*1000),TRUNC(RAND()*10))+IF(AND(F58="Geen",ISERROR(MATCH(E58,AanwezigReserve!Y$3:Y$7,0))),1100+RAND()*200,0)),10000)</f>
        <v>10000</v>
      </c>
      <c r="B58" s="18">
        <f ca="1">IFERROR(VLOOKUP(E58,AanwezigReserve!Y$3:Z$6,2,0),IF(COUNTIF(B$4:B57,B$2)&lt;3,B$2,IF(COUNTIF(B$4:B57,B57)&lt;4,B57,B57+1)))</f>
        <v>16</v>
      </c>
      <c r="C58" s="18" t="str">
        <f ca="1">IF(AND(B$2&lt;=B58,B58&lt;=C$2),4*(B58-1)+COUNTIF(B$5:B58,B58),"")</f>
        <v/>
      </c>
      <c r="D58" s="168"/>
      <c r="E58" s="4" t="str">
        <f>IF(AND(ISNUMBER(AanwezigReserve!F57),AanwezigReserve!F57&gt;=$F$1),AanwezigReserve!D57,"ZZZZ")</f>
        <v>ZZZZ</v>
      </c>
      <c r="F58" s="34" t="str">
        <f>IF(ISERROR(VLOOKUP(E58,AanwezigReserve!D:H,4,0)),"",IF(VLOOKUP(E58,AanwezigReserve!D:H,4,0)="G","Geen",""))</f>
        <v/>
      </c>
      <c r="G58" s="25" t="str">
        <f>IF(ISERROR(VLOOKUP(E58,AanwezigReserve!D:H,4,0)),"",VLOOKUP(E58,AanwezigReserve!D:H,5,0))</f>
        <v/>
      </c>
      <c r="H58" s="53"/>
      <c r="J58" s="54"/>
      <c r="K58" s="2"/>
      <c r="L58" s="2"/>
      <c r="T58" s="39"/>
      <c r="AB58"/>
    </row>
    <row r="59" spans="1:28" s="1" customFormat="1" ht="15.75" customHeight="1" thickTop="1" thickBot="1">
      <c r="A59" s="174">
        <f ca="1">IF(LEN(E59)&gt;5,IF(D59="R",9999,IF(ISERROR(MATCH(E59,AanwezigReserve!Y$3:Y$7,0)),TRUNC(10+RAND()*1000),TRUNC(RAND()*10))+IF(AND(F59="Geen",ISERROR(MATCH(E59,AanwezigReserve!Y$3:Y$7,0))),1100+RAND()*200,0)),10000)</f>
        <v>10000</v>
      </c>
      <c r="B59" s="18">
        <f ca="1">IFERROR(VLOOKUP(E59,AanwezigReserve!Y$3:Z$6,2,0),IF(COUNTIF(B$4:B58,B$2)&lt;3,B$2,IF(COUNTIF(B$4:B58,B58)&lt;4,B58,B58+1)))</f>
        <v>16</v>
      </c>
      <c r="C59" s="18" t="str">
        <f ca="1">IF(AND(B$2&lt;=B59,B59&lt;=C$2),4*(B59-1)+COUNTIF(B$5:B59,B59),"")</f>
        <v/>
      </c>
      <c r="D59" s="170"/>
      <c r="E59" s="4" t="str">
        <f>IF(AND(ISNUMBER(AanwezigReserve!F58),AanwezigReserve!F58&gt;=$F$1),AanwezigReserve!D58,"ZZZZ")</f>
        <v>ZZZZ</v>
      </c>
      <c r="F59" s="113"/>
      <c r="G59" s="25" t="str">
        <f>IF(ISERROR(VLOOKUP(E59,AanwezigReserve!D:H,4,0)),"",VLOOKUP(E59,AanwezigReserve!D:H,5,0))</f>
        <v/>
      </c>
      <c r="H59" s="53"/>
      <c r="J59" s="54"/>
      <c r="K59" s="2"/>
      <c r="L59" s="7"/>
      <c r="M59" s="193">
        <f>M52</f>
        <v>5</v>
      </c>
      <c r="N59" s="194">
        <f>J17</f>
        <v>9</v>
      </c>
      <c r="O59" s="2"/>
      <c r="P59" s="2"/>
      <c r="Q59" s="7"/>
      <c r="R59" s="101">
        <f>R52</f>
        <v>5</v>
      </c>
      <c r="S59" s="192">
        <f>J18</f>
        <v>10</v>
      </c>
      <c r="T59" s="8"/>
      <c r="AB59"/>
    </row>
    <row r="60" spans="1:28" s="1" customFormat="1" ht="15.75" customHeight="1" thickTop="1">
      <c r="A60"/>
      <c r="B60"/>
      <c r="C60"/>
      <c r="D60" s="205"/>
      <c r="E60" s="6"/>
      <c r="F60" s="49"/>
      <c r="G60"/>
      <c r="H60"/>
      <c r="J60" s="54"/>
      <c r="K60" s="2"/>
      <c r="L60" s="7"/>
      <c r="M60" s="101"/>
      <c r="N60" s="11"/>
      <c r="O60" s="2"/>
      <c r="P60" s="2"/>
      <c r="Q60" s="7"/>
      <c r="R60" s="101"/>
      <c r="S60" s="11"/>
      <c r="T60" s="40"/>
      <c r="AB60"/>
    </row>
    <row r="61" spans="1:28" s="1" customFormat="1" ht="15.75" customHeight="1">
      <c r="A61"/>
      <c r="B61"/>
      <c r="C61"/>
      <c r="D61" s="205"/>
      <c r="E61" s="6"/>
      <c r="F61" s="49"/>
      <c r="G61"/>
      <c r="H61"/>
      <c r="K61" s="2"/>
      <c r="L61" s="2"/>
      <c r="M61" s="2"/>
      <c r="N61" s="7"/>
      <c r="O61" s="2"/>
      <c r="P61" s="2"/>
      <c r="Q61" s="2"/>
      <c r="R61" s="2"/>
      <c r="S61" s="7"/>
      <c r="AB61"/>
    </row>
    <row r="62" spans="1:28" s="1" customFormat="1" ht="15.75" customHeight="1">
      <c r="A62"/>
      <c r="B62"/>
      <c r="C62"/>
      <c r="D62" s="205"/>
      <c r="E62" s="6"/>
      <c r="F62" s="49"/>
      <c r="G62"/>
      <c r="H62"/>
      <c r="K62" s="200" t="e">
        <f ca="1">VLOOKUP(K17,AanwezigReserve!$D:$E,2,0)</f>
        <v>#N/A</v>
      </c>
      <c r="L62" s="102" t="e">
        <f ca="1">VLOOKUP(M17,AanwezigReserve!$D:$E,2,0)</f>
        <v>#N/A</v>
      </c>
      <c r="M62" s="102" t="e">
        <f ca="1">VLOOKUP(P17,AanwezigReserve!$D:$E,2,0)</f>
        <v>#N/A</v>
      </c>
      <c r="N62" s="39" t="e">
        <f ca="1">VLOOKUP(R17,AanwezigReserve!$D:$E,2,0)</f>
        <v>#N/A</v>
      </c>
      <c r="O62" s="39"/>
      <c r="P62" s="102" t="e">
        <f ca="1">VLOOKUP(K18,AanwezigReserve!$D:$E,2,0)</f>
        <v>#N/A</v>
      </c>
      <c r="Q62" s="102" t="e">
        <f ca="1">VLOOKUP(M18,AanwezigReserve!$D:$E,2,0)</f>
        <v>#N/A</v>
      </c>
      <c r="R62" s="102" t="e">
        <f ca="1">VLOOKUP(P18,AanwezigReserve!$D:$E,2,0)</f>
        <v>#N/A</v>
      </c>
      <c r="S62" s="39" t="e">
        <f ca="1">VLOOKUP(R18,AanwezigReserve!$D:$E,2,0)</f>
        <v>#N/A</v>
      </c>
      <c r="T62" s="12"/>
      <c r="AB62"/>
    </row>
    <row r="63" spans="1:28" s="1" customFormat="1" ht="15.75" customHeight="1">
      <c r="A63"/>
      <c r="B63"/>
      <c r="C63"/>
      <c r="D63" s="205"/>
      <c r="E63" s="6"/>
      <c r="F63" s="49"/>
      <c r="G63"/>
      <c r="H63"/>
      <c r="T63" s="8"/>
      <c r="AB63"/>
    </row>
    <row r="64" spans="1:28" s="1" customFormat="1" ht="15.75" customHeight="1">
      <c r="A64"/>
      <c r="B64"/>
      <c r="C64"/>
      <c r="D64" s="205"/>
      <c r="E64"/>
      <c r="F64" s="49"/>
      <c r="G64"/>
      <c r="H64"/>
      <c r="K64" s="2"/>
      <c r="L64" s="2"/>
      <c r="N64" s="110">
        <f ca="1">N57</f>
        <v>46139</v>
      </c>
      <c r="O64" s="105"/>
      <c r="P64" s="105"/>
      <c r="Q64" s="105"/>
      <c r="R64" s="106"/>
      <c r="S64" s="110">
        <f ca="1">S57</f>
        <v>46139</v>
      </c>
      <c r="T64" s="8"/>
      <c r="AB64"/>
    </row>
    <row r="65" spans="1:28" s="1" customFormat="1" ht="15.75" customHeight="1">
      <c r="A65"/>
      <c r="B65"/>
      <c r="C65"/>
      <c r="D65" s="205"/>
      <c r="E65"/>
      <c r="F65" s="23"/>
      <c r="G65"/>
      <c r="H65"/>
      <c r="K65" s="2"/>
      <c r="L65" s="2"/>
      <c r="T65" s="13"/>
      <c r="AB65"/>
    </row>
    <row r="66" spans="1:28" s="1" customFormat="1" ht="15.75" customHeight="1">
      <c r="A66"/>
      <c r="B66"/>
      <c r="C66"/>
      <c r="D66" s="205"/>
      <c r="E66"/>
      <c r="F66" s="23"/>
      <c r="G66"/>
      <c r="H66"/>
      <c r="K66" s="2"/>
      <c r="L66" s="7"/>
      <c r="M66" s="193">
        <f>M59</f>
        <v>5</v>
      </c>
      <c r="N66" s="194">
        <f>J19</f>
        <v>11</v>
      </c>
      <c r="O66" s="2"/>
      <c r="P66" s="2"/>
      <c r="Q66" s="7"/>
      <c r="R66" s="101">
        <f>R59</f>
        <v>5</v>
      </c>
      <c r="S66" s="192">
        <f>J20</f>
        <v>12</v>
      </c>
      <c r="T66" s="77"/>
      <c r="AB66"/>
    </row>
    <row r="67" spans="1:28" s="1" customFormat="1" ht="15.75" customHeight="1">
      <c r="A67"/>
      <c r="B67"/>
      <c r="C67"/>
      <c r="D67" s="205"/>
      <c r="E67"/>
      <c r="F67" s="23"/>
      <c r="G67"/>
      <c r="H67"/>
      <c r="K67" s="2"/>
      <c r="L67" s="7"/>
      <c r="M67" s="101"/>
      <c r="N67" s="11"/>
      <c r="O67" s="2"/>
      <c r="P67" s="2"/>
      <c r="Q67" s="7"/>
      <c r="R67" s="101"/>
      <c r="S67" s="11"/>
      <c r="T67" s="10"/>
      <c r="AB67"/>
    </row>
    <row r="68" spans="1:28" s="1" customFormat="1" ht="15.75" customHeight="1">
      <c r="A68"/>
      <c r="B68"/>
      <c r="C68"/>
      <c r="D68" s="205"/>
      <c r="E68"/>
      <c r="F68" s="23"/>
      <c r="G68"/>
      <c r="H68"/>
      <c r="K68" s="2"/>
      <c r="L68" s="2"/>
      <c r="M68" s="2"/>
      <c r="N68" s="7"/>
      <c r="O68" s="2"/>
      <c r="P68" s="2"/>
      <c r="Q68" s="2"/>
      <c r="R68" s="2"/>
      <c r="S68" s="7"/>
      <c r="T68" s="10"/>
      <c r="AB68"/>
    </row>
    <row r="69" spans="1:28" s="1" customFormat="1" ht="15.75" customHeight="1">
      <c r="A69"/>
      <c r="B69"/>
      <c r="C69"/>
      <c r="D69" s="205"/>
      <c r="E69"/>
      <c r="F69" s="23"/>
      <c r="G69"/>
      <c r="H69"/>
      <c r="K69" s="200" t="e">
        <f ca="1">VLOOKUP(K19,AanwezigReserve!$D:$E,2,0)</f>
        <v>#N/A</v>
      </c>
      <c r="L69" s="102" t="e">
        <f ca="1">VLOOKUP(M19,AanwezigReserve!$D:$E,2,0)</f>
        <v>#N/A</v>
      </c>
      <c r="M69" s="102" t="e">
        <f ca="1">VLOOKUP(P19,AanwezigReserve!$D:$E,2,0)</f>
        <v>#N/A</v>
      </c>
      <c r="N69" s="39" t="e">
        <f ca="1">VLOOKUP(R19,AanwezigReserve!$D:$E,2,0)</f>
        <v>#N/A</v>
      </c>
      <c r="O69" s="39"/>
      <c r="P69" s="102" t="e">
        <f ca="1">VLOOKUP(K20,AanwezigReserve!$D:$E,2,0)</f>
        <v>#N/A</v>
      </c>
      <c r="Q69" s="102" t="e">
        <f ca="1">VLOOKUP(M20,AanwezigReserve!$D:$E,2,0)</f>
        <v>#N/A</v>
      </c>
      <c r="R69" s="102" t="e">
        <f ca="1">VLOOKUP(P20,AanwezigReserve!$D:$E,2,0)</f>
        <v>#N/A</v>
      </c>
      <c r="S69" s="39" t="e">
        <f ca="1">VLOOKUP(R20,AanwezigReserve!$D:$E,2,0)</f>
        <v>#N/A</v>
      </c>
      <c r="T69" s="10"/>
      <c r="AB69"/>
    </row>
    <row r="70" spans="1:28" s="1" customFormat="1" ht="15.75" customHeight="1">
      <c r="A70"/>
      <c r="B70"/>
      <c r="C70"/>
      <c r="D70" s="205"/>
      <c r="E70"/>
      <c r="F70" s="23"/>
      <c r="G70"/>
      <c r="H70"/>
      <c r="T70" s="7"/>
      <c r="AB70"/>
    </row>
    <row r="71" spans="1:28" s="1" customFormat="1" ht="15.75" customHeight="1">
      <c r="A71"/>
      <c r="B71"/>
      <c r="C71"/>
      <c r="D71" s="205"/>
      <c r="E71"/>
      <c r="F71" s="23"/>
      <c r="G71"/>
      <c r="H71"/>
      <c r="K71" s="2"/>
      <c r="L71" s="2"/>
      <c r="N71" s="110">
        <f ca="1">N64</f>
        <v>46139</v>
      </c>
      <c r="O71" s="105"/>
      <c r="P71" s="105"/>
      <c r="Q71" s="105"/>
      <c r="R71" s="106"/>
      <c r="S71" s="110">
        <f ca="1">S64</f>
        <v>46139</v>
      </c>
      <c r="T71" s="7"/>
      <c r="AB71"/>
    </row>
    <row r="72" spans="1:28" s="1" customFormat="1" ht="15.75" customHeight="1">
      <c r="A72"/>
      <c r="B72"/>
      <c r="C72"/>
      <c r="D72" s="205"/>
      <c r="E72"/>
      <c r="F72" s="23"/>
      <c r="G72"/>
      <c r="H72"/>
      <c r="K72" s="2"/>
      <c r="L72" s="2"/>
      <c r="T72" s="7"/>
      <c r="AB72"/>
    </row>
    <row r="73" spans="1:28" s="1" customFormat="1" ht="15.75" customHeight="1">
      <c r="A73"/>
      <c r="B73"/>
      <c r="C73"/>
      <c r="D73" s="205"/>
      <c r="E73"/>
      <c r="F73" s="23"/>
      <c r="G73"/>
      <c r="H73"/>
      <c r="K73" s="2"/>
      <c r="L73" s="7"/>
      <c r="M73" s="193">
        <f>M66</f>
        <v>5</v>
      </c>
      <c r="N73" s="194">
        <f>J21</f>
        <v>13</v>
      </c>
      <c r="O73" s="2"/>
      <c r="P73" s="2"/>
      <c r="Q73" s="7"/>
      <c r="R73" s="101">
        <f>R66</f>
        <v>5</v>
      </c>
      <c r="S73" s="192">
        <f>J22</f>
        <v>14</v>
      </c>
      <c r="T73" s="7"/>
      <c r="AB73"/>
    </row>
    <row r="74" spans="1:28" s="1" customFormat="1" ht="15.75" customHeight="1">
      <c r="A74"/>
      <c r="B74"/>
      <c r="C74"/>
      <c r="D74" s="205"/>
      <c r="E74"/>
      <c r="F74" s="23"/>
      <c r="G74"/>
      <c r="H74"/>
      <c r="K74" s="2"/>
      <c r="L74" s="7"/>
      <c r="M74" s="101"/>
      <c r="N74" s="11"/>
      <c r="O74" s="2"/>
      <c r="P74" s="2"/>
      <c r="Q74" s="7"/>
      <c r="R74" s="101"/>
      <c r="S74" s="11"/>
      <c r="T74" s="7"/>
      <c r="AB74"/>
    </row>
    <row r="75" spans="1:28" s="1" customFormat="1" ht="15.75" customHeight="1">
      <c r="A75"/>
      <c r="B75"/>
      <c r="C75"/>
      <c r="D75" s="205"/>
      <c r="E75"/>
      <c r="F75" s="23"/>
      <c r="G75"/>
      <c r="H75"/>
      <c r="K75" s="2"/>
      <c r="L75" s="2"/>
      <c r="M75" s="2"/>
      <c r="N75" s="7"/>
      <c r="O75" s="2"/>
      <c r="P75" s="2"/>
      <c r="Q75" s="2"/>
      <c r="R75" s="2"/>
      <c r="S75" s="7"/>
      <c r="T75" s="7"/>
      <c r="AB75"/>
    </row>
    <row r="76" spans="1:28" s="2" customFormat="1" ht="15.75" customHeight="1">
      <c r="A76"/>
      <c r="B76"/>
      <c r="C76"/>
      <c r="D76" s="205"/>
      <c r="E76"/>
      <c r="F76" s="23"/>
      <c r="G76"/>
      <c r="H76"/>
      <c r="J76" s="9"/>
      <c r="K76" s="200" t="e">
        <f ca="1">VLOOKUP(K21,AanwezigReserve!$D:$E,2,0)</f>
        <v>#N/A</v>
      </c>
      <c r="L76" s="102" t="e">
        <f ca="1">VLOOKUP(M21,AanwezigReserve!$D:$E,2,0)</f>
        <v>#N/A</v>
      </c>
      <c r="M76" s="102" t="e">
        <f ca="1">VLOOKUP(P21,AanwezigReserve!$D:$E,2,0)</f>
        <v>#N/A</v>
      </c>
      <c r="N76" s="39" t="e">
        <f ca="1">VLOOKUP(R21,AanwezigReserve!$D:$E,2,0)</f>
        <v>#N/A</v>
      </c>
      <c r="O76" s="39"/>
      <c r="P76" s="102" t="e">
        <f ca="1">VLOOKUP(K22,AanwezigReserve!$D:$E,2,0)</f>
        <v>#N/A</v>
      </c>
      <c r="Q76" s="102" t="e">
        <f ca="1">VLOOKUP(M22,AanwezigReserve!$D:$E,2,0)</f>
        <v>#N/A</v>
      </c>
      <c r="R76" s="102" t="e">
        <f ca="1">VLOOKUP(P22,AanwezigReserve!$D:$E,2,0)</f>
        <v>#N/A</v>
      </c>
      <c r="S76" s="39" t="e">
        <f ca="1">VLOOKUP(R22,AanwezigReserve!$D:$E,2,0)</f>
        <v>#N/A</v>
      </c>
      <c r="T76" s="7"/>
      <c r="U76" s="1"/>
      <c r="V76" s="1"/>
      <c r="AA76" s="1"/>
      <c r="AB76"/>
    </row>
    <row r="77" spans="1:28" s="2" customFormat="1" ht="15.75" customHeight="1">
      <c r="A77"/>
      <c r="B77"/>
      <c r="C77"/>
      <c r="D77" s="205"/>
      <c r="E77"/>
      <c r="F77" s="23"/>
      <c r="G77"/>
      <c r="H77"/>
      <c r="J77" s="9"/>
      <c r="K77" s="1"/>
      <c r="L77" s="1"/>
      <c r="M77" s="1"/>
      <c r="N77" s="1"/>
      <c r="O77" s="1"/>
      <c r="P77" s="1"/>
      <c r="Q77" s="1"/>
      <c r="R77" s="1"/>
      <c r="S77" s="1"/>
      <c r="T77" s="7"/>
      <c r="U77" s="1"/>
      <c r="V77" s="1"/>
      <c r="AB77"/>
    </row>
    <row r="78" spans="1:28" s="2" customFormat="1" ht="15.75" customHeight="1">
      <c r="A78"/>
      <c r="B78"/>
      <c r="C78"/>
      <c r="D78" s="205"/>
      <c r="E78"/>
      <c r="F78" s="23"/>
      <c r="G78"/>
      <c r="H78"/>
      <c r="J78" s="9"/>
      <c r="K78" s="7"/>
      <c r="L78" s="7"/>
      <c r="M78" s="7"/>
      <c r="N78" s="7"/>
      <c r="O78" s="7"/>
      <c r="P78" s="7"/>
      <c r="Q78" s="7"/>
      <c r="R78" s="7"/>
      <c r="S78" s="7"/>
      <c r="T78" s="7"/>
      <c r="U78" s="1"/>
      <c r="V78" s="1"/>
      <c r="AB78"/>
    </row>
    <row r="79" spans="1:28" s="1" customFormat="1" ht="15.75" customHeight="1">
      <c r="A79"/>
      <c r="B79"/>
      <c r="C79"/>
      <c r="D79" s="205"/>
      <c r="E79"/>
      <c r="F79" s="23"/>
      <c r="G79"/>
      <c r="H79"/>
      <c r="J79" s="9"/>
      <c r="K79" s="7"/>
      <c r="L79" s="7"/>
      <c r="M79" s="7"/>
      <c r="N79" s="7"/>
      <c r="O79" s="7"/>
      <c r="P79" s="7"/>
      <c r="Q79" s="7"/>
      <c r="R79" s="7"/>
      <c r="S79" s="7"/>
      <c r="T79" s="7"/>
      <c r="AA79" s="2"/>
      <c r="AB79"/>
    </row>
    <row r="80" spans="1:28" s="1" customFormat="1" ht="15.75" customHeight="1">
      <c r="A80"/>
      <c r="B80"/>
      <c r="C80"/>
      <c r="D80" s="205"/>
      <c r="E80"/>
      <c r="F80" s="23"/>
      <c r="G80"/>
      <c r="H80"/>
      <c r="K80" s="7"/>
      <c r="L80" s="7"/>
      <c r="M80" s="7"/>
      <c r="N80" s="7"/>
      <c r="O80" s="7"/>
      <c r="P80" s="7"/>
      <c r="Q80" s="7"/>
      <c r="R80" s="7"/>
      <c r="S80" s="7"/>
      <c r="T80" s="7"/>
      <c r="AB80"/>
    </row>
    <row r="81" spans="1:28" s="1" customFormat="1" ht="15.75" customHeight="1">
      <c r="A81"/>
      <c r="B81"/>
      <c r="C81"/>
      <c r="D81" s="205"/>
      <c r="E81"/>
      <c r="F81" s="23"/>
      <c r="G81"/>
      <c r="H81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AB81"/>
    </row>
    <row r="82" spans="1:28" s="1" customFormat="1" ht="15.75" customHeight="1">
      <c r="A82"/>
      <c r="B82"/>
      <c r="C82"/>
      <c r="D82" s="205"/>
      <c r="E82"/>
      <c r="F82" s="23"/>
      <c r="G82"/>
      <c r="H82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AB82"/>
    </row>
    <row r="83" spans="1:28" s="1" customFormat="1" ht="15.75" customHeight="1">
      <c r="A83"/>
      <c r="B83"/>
      <c r="C83"/>
      <c r="D83" s="205"/>
      <c r="E83"/>
      <c r="F83" s="23"/>
      <c r="G83"/>
      <c r="H83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</row>
    <row r="84" spans="1:28" s="1" customFormat="1" ht="15.75" customHeight="1">
      <c r="A84"/>
      <c r="B84"/>
      <c r="C84"/>
      <c r="D84" s="205"/>
      <c r="E84"/>
      <c r="F84" s="23"/>
      <c r="G84"/>
      <c r="H84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:28" s="1" customFormat="1">
      <c r="A85"/>
      <c r="B85"/>
      <c r="C85"/>
      <c r="D85" s="205"/>
      <c r="E85"/>
      <c r="F85" s="23"/>
      <c r="G85"/>
      <c r="H85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</row>
    <row r="86" spans="1:28" s="1" customFormat="1">
      <c r="A86"/>
      <c r="B86"/>
      <c r="C86"/>
      <c r="D86" s="205"/>
      <c r="E86"/>
      <c r="F86" s="23"/>
      <c r="G86"/>
      <c r="H86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:28" s="1" customFormat="1">
      <c r="A87"/>
      <c r="B87"/>
      <c r="C87"/>
      <c r="D87" s="205"/>
      <c r="E87"/>
      <c r="F87" s="23"/>
      <c r="G87"/>
      <c r="H8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</row>
    <row r="88" spans="1:28" s="1" customFormat="1" ht="15.75" customHeight="1">
      <c r="A88"/>
      <c r="B88"/>
      <c r="C88"/>
      <c r="D88" s="205"/>
      <c r="E88"/>
      <c r="F88"/>
      <c r="G88" s="23"/>
      <c r="H88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:28" s="1" customFormat="1" ht="15.75" customHeight="1">
      <c r="A89"/>
      <c r="B89"/>
      <c r="C89"/>
      <c r="D89"/>
      <c r="E89"/>
      <c r="F89"/>
      <c r="G89" s="23"/>
      <c r="H89"/>
      <c r="I89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</row>
    <row r="90" spans="1:28" s="1" customFormat="1">
      <c r="A90"/>
      <c r="B90"/>
      <c r="C90"/>
      <c r="D90"/>
      <c r="E90"/>
      <c r="F90"/>
      <c r="G90" s="23"/>
      <c r="H90"/>
      <c r="I90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</row>
    <row r="91" spans="1:28" s="1" customFormat="1">
      <c r="A91"/>
      <c r="B91"/>
      <c r="C91"/>
      <c r="D91"/>
      <c r="E91"/>
      <c r="F91"/>
      <c r="G91" s="23"/>
      <c r="H91"/>
      <c r="I91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</row>
    <row r="92" spans="1:28" s="1" customFormat="1">
      <c r="A92"/>
      <c r="B92"/>
      <c r="C92"/>
      <c r="D92"/>
      <c r="E92"/>
      <c r="F92"/>
      <c r="G92" s="23"/>
      <c r="H92"/>
      <c r="I92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</row>
    <row r="93" spans="1:28" s="1" customFormat="1">
      <c r="A93"/>
      <c r="B93"/>
      <c r="C93"/>
      <c r="D93"/>
      <c r="E93"/>
      <c r="F93"/>
      <c r="G93" s="23"/>
      <c r="H93"/>
      <c r="I93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</row>
    <row r="94" spans="1:28" s="1" customFormat="1">
      <c r="A94"/>
      <c r="B94"/>
      <c r="C94"/>
      <c r="D94"/>
      <c r="E94"/>
      <c r="F94"/>
      <c r="G94" s="23"/>
      <c r="H94"/>
      <c r="I94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</row>
    <row r="95" spans="1:28" s="1" customFormat="1">
      <c r="A95"/>
      <c r="B95"/>
      <c r="C95"/>
      <c r="D95"/>
      <c r="E95"/>
      <c r="F95"/>
      <c r="G95" s="23"/>
      <c r="H95"/>
      <c r="I95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</row>
    <row r="96" spans="1:28" s="1" customFormat="1">
      <c r="A96"/>
      <c r="B96"/>
      <c r="C96"/>
      <c r="D96"/>
      <c r="E96"/>
      <c r="F96"/>
      <c r="G96" s="23"/>
      <c r="H96"/>
      <c r="I96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</row>
    <row r="97" spans="1:27" s="1" customFormat="1">
      <c r="A97"/>
      <c r="B97"/>
      <c r="C97"/>
      <c r="D97"/>
      <c r="E97"/>
      <c r="F97"/>
      <c r="G97" s="23"/>
      <c r="H97"/>
      <c r="I9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</row>
    <row r="98" spans="1:27" s="1" customFormat="1">
      <c r="A98"/>
      <c r="B98"/>
      <c r="C98"/>
      <c r="D98"/>
      <c r="E98"/>
      <c r="F98"/>
      <c r="G98" s="23"/>
      <c r="H98"/>
      <c r="I98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</row>
    <row r="99" spans="1:27" s="1" customFormat="1">
      <c r="A99"/>
      <c r="B99"/>
      <c r="C99"/>
      <c r="D99"/>
      <c r="E99"/>
      <c r="F99"/>
      <c r="G99" s="23"/>
      <c r="H99"/>
      <c r="I99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</row>
    <row r="100" spans="1:27" s="1" customFormat="1">
      <c r="A100"/>
      <c r="B100"/>
      <c r="C100"/>
      <c r="D100"/>
      <c r="E100"/>
      <c r="F100"/>
      <c r="G100" s="23"/>
      <c r="H100"/>
      <c r="I100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</row>
    <row r="101" spans="1:27" s="1" customFormat="1">
      <c r="A101"/>
      <c r="B101"/>
      <c r="C101"/>
      <c r="D101"/>
      <c r="E101"/>
      <c r="F101"/>
      <c r="G101" s="23"/>
      <c r="H101"/>
      <c r="I101"/>
      <c r="J101" s="2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</row>
    <row r="102" spans="1:27" s="1" customFormat="1">
      <c r="A102"/>
      <c r="B102"/>
      <c r="C102"/>
      <c r="D102"/>
      <c r="E102"/>
      <c r="F102"/>
      <c r="G102" s="23"/>
      <c r="H102"/>
      <c r="I102"/>
      <c r="J102" s="2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</row>
    <row r="103" spans="1:27" s="1" customFormat="1">
      <c r="A103"/>
      <c r="B103"/>
      <c r="C103"/>
      <c r="D103"/>
      <c r="E103"/>
      <c r="F103"/>
      <c r="G103" s="23"/>
      <c r="H103"/>
      <c r="I103"/>
      <c r="J103" s="2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</row>
    <row r="104" spans="1:27" s="1" customFormat="1">
      <c r="A104"/>
      <c r="B104"/>
      <c r="C104"/>
      <c r="D104"/>
      <c r="E104"/>
      <c r="F104"/>
      <c r="G104" s="23"/>
      <c r="H104"/>
      <c r="I104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</row>
    <row r="105" spans="1:27" s="1" customFormat="1">
      <c r="A105"/>
      <c r="B105"/>
      <c r="C105"/>
      <c r="D105"/>
      <c r="E105"/>
      <c r="F105"/>
      <c r="G105" s="23"/>
      <c r="H105"/>
      <c r="I105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</row>
    <row r="106" spans="1:27" s="1" customFormat="1">
      <c r="A106"/>
      <c r="B106"/>
      <c r="C106"/>
      <c r="D106"/>
      <c r="E106"/>
      <c r="F106"/>
      <c r="G106" s="23"/>
      <c r="H106"/>
      <c r="I106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</row>
    <row r="107" spans="1:27" s="1" customFormat="1">
      <c r="A107"/>
      <c r="B107"/>
      <c r="C107"/>
      <c r="D107"/>
      <c r="E107"/>
      <c r="F107"/>
      <c r="G107" s="23"/>
      <c r="H107"/>
      <c r="I10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</row>
    <row r="108" spans="1:27" s="1" customFormat="1">
      <c r="A108"/>
      <c r="B108"/>
      <c r="C108"/>
      <c r="D108"/>
      <c r="E108"/>
      <c r="F108"/>
      <c r="G108" s="23"/>
      <c r="H108"/>
      <c r="I108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 spans="1:27" s="1" customFormat="1">
      <c r="A109"/>
      <c r="B109"/>
      <c r="C109"/>
      <c r="D109"/>
      <c r="E109"/>
      <c r="F109"/>
      <c r="G109" s="23"/>
      <c r="H109"/>
      <c r="I109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</row>
    <row r="110" spans="1:27" s="2" customFormat="1">
      <c r="A110"/>
      <c r="B110"/>
      <c r="C110"/>
      <c r="D110"/>
      <c r="E110"/>
      <c r="F110"/>
      <c r="G110" s="23"/>
      <c r="H110"/>
      <c r="I110"/>
      <c r="J110" s="1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AA110" s="1"/>
    </row>
    <row r="111" spans="1:27" s="2" customFormat="1">
      <c r="A111"/>
      <c r="B111"/>
      <c r="C111"/>
      <c r="D111"/>
      <c r="E111"/>
      <c r="F111"/>
      <c r="G111" s="23"/>
      <c r="H111"/>
      <c r="I111"/>
      <c r="J111" s="1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</row>
    <row r="112" spans="1:27" s="2" customFormat="1">
      <c r="A112"/>
      <c r="B112"/>
      <c r="C112"/>
      <c r="D112"/>
      <c r="E112"/>
      <c r="F112"/>
      <c r="G112" s="23"/>
      <c r="H112"/>
      <c r="I112"/>
      <c r="J112" s="1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</row>
    <row r="113" spans="1:27" s="1" customFormat="1">
      <c r="A113"/>
      <c r="B113"/>
      <c r="C113"/>
      <c r="D113"/>
      <c r="E113"/>
      <c r="F113"/>
      <c r="G113" s="23"/>
      <c r="H113"/>
      <c r="I113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AA113" s="2"/>
    </row>
    <row r="114" spans="1:27" s="1" customFormat="1">
      <c r="A114"/>
      <c r="B114"/>
      <c r="C114"/>
      <c r="D114"/>
      <c r="E114"/>
      <c r="F114"/>
      <c r="G114" s="23"/>
      <c r="H114"/>
      <c r="I114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</row>
    <row r="115" spans="1:27" s="1" customFormat="1">
      <c r="A115"/>
      <c r="B115"/>
      <c r="C115"/>
      <c r="D115"/>
      <c r="E115"/>
      <c r="F115"/>
      <c r="G115" s="23"/>
      <c r="H115"/>
      <c r="I115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</row>
    <row r="116" spans="1:27" s="1" customFormat="1">
      <c r="A116"/>
      <c r="B116"/>
      <c r="C116"/>
      <c r="D116"/>
      <c r="E116"/>
      <c r="F116"/>
      <c r="G116" s="23"/>
      <c r="H116"/>
      <c r="I116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</row>
    <row r="117" spans="1:27" s="1" customFormat="1">
      <c r="A117"/>
      <c r="B117"/>
      <c r="C117"/>
      <c r="D117"/>
      <c r="E117"/>
      <c r="F117"/>
      <c r="G117" s="23"/>
      <c r="H117"/>
      <c r="I11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</row>
    <row r="118" spans="1:27" s="1" customFormat="1">
      <c r="A118"/>
      <c r="B118"/>
      <c r="C118"/>
      <c r="D118"/>
      <c r="E118"/>
      <c r="F118"/>
      <c r="G118" s="23"/>
      <c r="H118"/>
      <c r="I118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</row>
    <row r="119" spans="1:27" s="1" customFormat="1">
      <c r="A119"/>
      <c r="B119"/>
      <c r="C119"/>
      <c r="D119"/>
      <c r="E119"/>
      <c r="F119"/>
      <c r="G119" s="23"/>
      <c r="H119"/>
      <c r="I119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</row>
    <row r="120" spans="1:27" s="1" customFormat="1">
      <c r="A120"/>
      <c r="B120"/>
      <c r="C120"/>
      <c r="D120"/>
      <c r="E120"/>
      <c r="F120"/>
      <c r="G120" s="23"/>
      <c r="H120"/>
      <c r="I120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</row>
    <row r="121" spans="1:27" s="1" customFormat="1">
      <c r="A121"/>
      <c r="B121"/>
      <c r="C121"/>
      <c r="D121"/>
      <c r="E121"/>
      <c r="F121"/>
      <c r="G121" s="23"/>
      <c r="H121"/>
      <c r="I121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</row>
    <row r="122" spans="1:27" s="1" customFormat="1">
      <c r="A122"/>
      <c r="B122"/>
      <c r="C122"/>
      <c r="D122"/>
      <c r="E122"/>
      <c r="F122"/>
      <c r="G122" s="23"/>
      <c r="H122"/>
      <c r="I122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</row>
    <row r="123" spans="1:27" s="1" customFormat="1">
      <c r="A123"/>
      <c r="B123"/>
      <c r="C123"/>
      <c r="D123"/>
      <c r="E123"/>
      <c r="F123"/>
      <c r="G123" s="23"/>
      <c r="H123"/>
      <c r="I123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</row>
    <row r="124" spans="1:27" s="1" customFormat="1">
      <c r="A124"/>
      <c r="B124"/>
      <c r="C124"/>
      <c r="D124"/>
      <c r="E124"/>
      <c r="F124"/>
      <c r="G124" s="23"/>
      <c r="H124"/>
      <c r="I124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</row>
    <row r="125" spans="1:27" s="1" customFormat="1">
      <c r="A125"/>
      <c r="B125"/>
      <c r="C125"/>
      <c r="D125"/>
      <c r="E125"/>
      <c r="F125"/>
      <c r="G125" s="23"/>
      <c r="H125"/>
      <c r="I125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</row>
    <row r="126" spans="1:27" s="1" customFormat="1">
      <c r="A126"/>
      <c r="B126"/>
      <c r="C126"/>
      <c r="D126"/>
      <c r="E126"/>
      <c r="F126"/>
      <c r="G126" s="23"/>
      <c r="H126"/>
      <c r="I126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</row>
    <row r="127" spans="1:27" s="1" customFormat="1">
      <c r="A127"/>
      <c r="B127"/>
      <c r="C127"/>
      <c r="D127"/>
      <c r="E127"/>
      <c r="F127"/>
      <c r="G127" s="23"/>
      <c r="H127"/>
      <c r="I12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</row>
    <row r="128" spans="1:27" s="1" customFormat="1">
      <c r="A128"/>
      <c r="B128"/>
      <c r="C128"/>
      <c r="D128"/>
      <c r="E128"/>
      <c r="F128"/>
      <c r="G128" s="23"/>
      <c r="H128"/>
      <c r="I128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</row>
    <row r="129" spans="1:28" s="1" customFormat="1">
      <c r="A129"/>
      <c r="B129"/>
      <c r="C129"/>
      <c r="D129"/>
      <c r="E129"/>
      <c r="F129"/>
      <c r="G129" s="23"/>
      <c r="H129"/>
      <c r="I129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</row>
    <row r="130" spans="1:28" s="1" customFormat="1" ht="15" customHeight="1">
      <c r="A130"/>
      <c r="B130"/>
      <c r="C130"/>
      <c r="D130"/>
      <c r="E130"/>
      <c r="F130"/>
      <c r="G130" s="23"/>
      <c r="H130"/>
      <c r="I130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</row>
    <row r="131" spans="1:28" s="1" customFormat="1" ht="15" customHeight="1">
      <c r="A131"/>
      <c r="B131"/>
      <c r="C131"/>
      <c r="D131"/>
      <c r="E131"/>
      <c r="F131"/>
      <c r="G131" s="23"/>
      <c r="H131"/>
      <c r="I131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</row>
    <row r="132" spans="1:28" s="1" customFormat="1">
      <c r="A132"/>
      <c r="B132"/>
      <c r="C132"/>
      <c r="D132"/>
      <c r="E132"/>
      <c r="F132"/>
      <c r="G132" s="23"/>
      <c r="H132"/>
      <c r="I132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</row>
    <row r="133" spans="1:28" s="1" customFormat="1">
      <c r="A133"/>
      <c r="B133"/>
      <c r="C133"/>
      <c r="D133"/>
      <c r="E133"/>
      <c r="F133"/>
      <c r="G133" s="23"/>
      <c r="H133"/>
      <c r="I133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</row>
    <row r="134" spans="1:28" s="1" customFormat="1">
      <c r="A134"/>
      <c r="B134"/>
      <c r="C134"/>
      <c r="D134"/>
      <c r="E134"/>
      <c r="F134"/>
      <c r="G134" s="23"/>
      <c r="H134"/>
      <c r="I134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</row>
    <row r="135" spans="1:28" s="1" customFormat="1">
      <c r="A135"/>
      <c r="B135"/>
      <c r="C135"/>
      <c r="D135"/>
      <c r="E135"/>
      <c r="F135"/>
      <c r="G135" s="23"/>
      <c r="H135"/>
      <c r="I135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</row>
    <row r="136" spans="1:28" s="1" customFormat="1">
      <c r="A136"/>
      <c r="B136"/>
      <c r="C136"/>
      <c r="D136"/>
      <c r="E136"/>
      <c r="F136"/>
      <c r="G136" s="23"/>
      <c r="H136"/>
      <c r="I136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</row>
    <row r="137" spans="1:28" s="1" customFormat="1">
      <c r="A137"/>
      <c r="B137"/>
      <c r="C137"/>
      <c r="D137"/>
      <c r="E137"/>
      <c r="F137"/>
      <c r="G137" s="23"/>
      <c r="H137"/>
      <c r="I13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</row>
    <row r="138" spans="1:28" s="1" customFormat="1">
      <c r="A138"/>
      <c r="B138"/>
      <c r="C138"/>
      <c r="D138"/>
      <c r="E138"/>
      <c r="F138"/>
      <c r="G138" s="23"/>
      <c r="H138"/>
      <c r="I138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</row>
    <row r="139" spans="1:28" s="1" customFormat="1">
      <c r="A139"/>
      <c r="B139"/>
      <c r="C139"/>
      <c r="D139"/>
      <c r="E139"/>
      <c r="F139"/>
      <c r="G139" s="23"/>
      <c r="H139"/>
      <c r="I139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</row>
    <row r="140" spans="1:28" s="1" customFormat="1">
      <c r="A140"/>
      <c r="B140"/>
      <c r="C140"/>
      <c r="D140"/>
      <c r="E140"/>
      <c r="F140"/>
      <c r="G140" s="23"/>
      <c r="H140"/>
      <c r="I140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</row>
    <row r="141" spans="1:28" s="1" customFormat="1">
      <c r="A141"/>
      <c r="B141"/>
      <c r="C141"/>
      <c r="D141"/>
      <c r="E141"/>
      <c r="F141"/>
      <c r="G141" s="23"/>
      <c r="H141"/>
      <c r="I141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</row>
    <row r="142" spans="1:28" s="1" customFormat="1">
      <c r="A142"/>
      <c r="B142"/>
      <c r="C142"/>
      <c r="D142"/>
      <c r="E142"/>
      <c r="F142"/>
      <c r="G142" s="23"/>
      <c r="H142"/>
      <c r="I142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</row>
    <row r="143" spans="1:28" s="1" customFormat="1">
      <c r="A143"/>
      <c r="B143"/>
      <c r="C143"/>
      <c r="D143"/>
      <c r="E143"/>
      <c r="F143"/>
      <c r="G143" s="23"/>
      <c r="H143"/>
      <c r="I143"/>
      <c r="J143" s="2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</row>
    <row r="144" spans="1:28" s="1" customFormat="1">
      <c r="A144"/>
      <c r="B144"/>
      <c r="C144"/>
      <c r="D144"/>
      <c r="E144"/>
      <c r="F144"/>
      <c r="G144" s="23"/>
      <c r="H144"/>
      <c r="I144"/>
      <c r="J144" s="2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AB144" s="2"/>
    </row>
    <row r="145" spans="1:28" s="1" customFormat="1">
      <c r="A145"/>
      <c r="B145"/>
      <c r="C145"/>
      <c r="D145"/>
      <c r="E145"/>
      <c r="F145"/>
      <c r="G145" s="23"/>
      <c r="H145"/>
      <c r="I145"/>
      <c r="J145" s="2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AB145" s="2"/>
    </row>
    <row r="146" spans="1:28" s="1" customFormat="1">
      <c r="A146"/>
      <c r="B146"/>
      <c r="C146"/>
      <c r="D146"/>
      <c r="E146"/>
      <c r="F146"/>
      <c r="G146" s="23"/>
      <c r="H146"/>
      <c r="I146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AB146" s="2"/>
    </row>
    <row r="147" spans="1:28" s="1" customFormat="1">
      <c r="A147"/>
      <c r="B147"/>
      <c r="C147"/>
      <c r="D147"/>
      <c r="E147"/>
      <c r="F147"/>
      <c r="G147" s="23"/>
      <c r="H147"/>
      <c r="I14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</row>
    <row r="148" spans="1:28" s="1" customFormat="1">
      <c r="A148"/>
      <c r="B148"/>
      <c r="C148"/>
      <c r="D148"/>
      <c r="E148"/>
      <c r="F148"/>
      <c r="G148" s="23"/>
      <c r="H148"/>
      <c r="I148"/>
      <c r="K148" s="112"/>
      <c r="L148" s="112"/>
      <c r="M148" s="112"/>
      <c r="N148" s="112"/>
      <c r="O148" s="112"/>
      <c r="P148" s="112"/>
      <c r="Q148" s="112"/>
      <c r="R148" s="112"/>
      <c r="S148" s="7"/>
      <c r="T148" s="7"/>
      <c r="U148" s="7"/>
      <c r="V148" s="7"/>
    </row>
    <row r="149" spans="1:28" s="1" customFormat="1">
      <c r="A149"/>
      <c r="B149"/>
      <c r="C149"/>
      <c r="D149"/>
      <c r="E149"/>
      <c r="F149"/>
      <c r="G149" s="23"/>
      <c r="H149"/>
      <c r="I149"/>
      <c r="K149" s="112"/>
      <c r="L149" s="112"/>
      <c r="M149" s="112"/>
      <c r="N149" s="112"/>
      <c r="O149" s="112"/>
      <c r="P149" s="112"/>
      <c r="Q149" s="112"/>
      <c r="R149" s="112"/>
      <c r="S149" s="7"/>
      <c r="T149" s="7"/>
      <c r="U149" s="7"/>
      <c r="V149" s="7"/>
    </row>
    <row r="150" spans="1:28" s="1" customFormat="1">
      <c r="A150"/>
      <c r="B150"/>
      <c r="C150"/>
      <c r="D150"/>
      <c r="E150"/>
      <c r="F150"/>
      <c r="G150" s="23"/>
      <c r="H150"/>
      <c r="I150"/>
      <c r="K150" s="112"/>
      <c r="L150" s="112"/>
      <c r="M150" s="112"/>
      <c r="N150" s="112"/>
      <c r="O150" s="112"/>
      <c r="P150" s="112"/>
      <c r="Q150" s="112"/>
      <c r="R150" s="112"/>
      <c r="S150" s="7"/>
      <c r="T150" s="7"/>
      <c r="U150" s="7"/>
      <c r="V150" s="7"/>
    </row>
    <row r="151" spans="1:28" s="1" customFormat="1">
      <c r="A151"/>
      <c r="B151"/>
      <c r="C151"/>
      <c r="D151"/>
      <c r="E151"/>
      <c r="F151"/>
      <c r="G151" s="23"/>
      <c r="H151"/>
      <c r="I151"/>
      <c r="K151" s="112"/>
      <c r="L151" s="112"/>
      <c r="M151" s="112"/>
      <c r="N151" s="112"/>
      <c r="O151" s="112"/>
      <c r="P151" s="112"/>
      <c r="Q151" s="112"/>
      <c r="R151" s="112"/>
      <c r="S151" s="7"/>
      <c r="T151" s="7"/>
      <c r="U151" s="7"/>
      <c r="V151" s="7"/>
    </row>
    <row r="152" spans="1:28" s="2" customFormat="1">
      <c r="A152"/>
      <c r="B152"/>
      <c r="C152"/>
      <c r="D152"/>
      <c r="E152"/>
      <c r="F152"/>
      <c r="G152" s="23"/>
      <c r="H152"/>
      <c r="I152"/>
      <c r="J152" s="1"/>
      <c r="K152" s="112"/>
      <c r="L152" s="112"/>
      <c r="M152" s="112"/>
      <c r="N152" s="112"/>
      <c r="O152" s="112"/>
      <c r="P152" s="112"/>
      <c r="Q152" s="112"/>
      <c r="R152" s="112"/>
      <c r="S152" s="7"/>
      <c r="T152" s="7"/>
      <c r="U152" s="7"/>
      <c r="V152" s="7"/>
      <c r="AA152" s="1"/>
      <c r="AB152" s="1"/>
    </row>
    <row r="153" spans="1:28" s="2" customFormat="1">
      <c r="A153"/>
      <c r="B153"/>
      <c r="C153"/>
      <c r="D153"/>
      <c r="E153"/>
      <c r="F153"/>
      <c r="G153" s="23"/>
      <c r="H153"/>
      <c r="I153"/>
      <c r="J153" s="1"/>
      <c r="K153" s="112"/>
      <c r="L153" s="112"/>
      <c r="M153" s="112"/>
      <c r="N153" s="112"/>
      <c r="O153" s="112"/>
      <c r="P153" s="112"/>
      <c r="Q153" s="112"/>
      <c r="R153" s="112"/>
      <c r="S153" s="7"/>
      <c r="T153" s="7"/>
      <c r="U153" s="7"/>
      <c r="V153" s="7"/>
      <c r="AB153" s="1"/>
    </row>
    <row r="154" spans="1:28" s="2" customFormat="1">
      <c r="A154"/>
      <c r="B154"/>
      <c r="C154"/>
      <c r="D154"/>
      <c r="E154"/>
      <c r="F154"/>
      <c r="G154" s="23"/>
      <c r="H154"/>
      <c r="I154"/>
      <c r="J154" s="1"/>
      <c r="K154" s="112"/>
      <c r="L154" s="112"/>
      <c r="M154" s="112"/>
      <c r="N154" s="112"/>
      <c r="O154" s="112"/>
      <c r="P154" s="112"/>
      <c r="Q154" s="112"/>
      <c r="R154" s="112"/>
      <c r="S154" s="7"/>
      <c r="T154" s="7"/>
      <c r="U154" s="7"/>
      <c r="V154" s="7"/>
      <c r="AB154" s="1"/>
    </row>
    <row r="155" spans="1:28" s="1" customFormat="1">
      <c r="A155"/>
      <c r="B155"/>
      <c r="C155"/>
      <c r="D155"/>
      <c r="E155"/>
      <c r="F155"/>
      <c r="G155" s="23"/>
      <c r="H155"/>
      <c r="I155"/>
      <c r="K155" s="112"/>
      <c r="L155" s="112"/>
      <c r="M155" s="112"/>
      <c r="N155" s="112"/>
      <c r="O155" s="112"/>
      <c r="P155" s="112"/>
      <c r="Q155" s="112"/>
      <c r="R155" s="112"/>
      <c r="S155" s="7"/>
      <c r="T155" s="7"/>
      <c r="U155" s="7"/>
      <c r="V155" s="7"/>
      <c r="AA155" s="2"/>
    </row>
    <row r="156" spans="1:28" s="1" customFormat="1">
      <c r="A156"/>
      <c r="B156"/>
      <c r="C156"/>
      <c r="D156"/>
      <c r="E156"/>
      <c r="F156"/>
      <c r="G156" s="23"/>
      <c r="H156"/>
      <c r="I156"/>
      <c r="K156" s="112"/>
      <c r="L156" s="112"/>
      <c r="M156" s="112"/>
      <c r="N156" s="112"/>
      <c r="O156" s="112"/>
      <c r="P156" s="112"/>
      <c r="Q156" s="112"/>
      <c r="R156" s="112"/>
      <c r="S156" s="7"/>
      <c r="T156" s="7"/>
      <c r="U156" s="7"/>
      <c r="V156" s="7"/>
    </row>
    <row r="157" spans="1:28" s="1" customFormat="1">
      <c r="A157"/>
      <c r="B157"/>
      <c r="C157"/>
      <c r="D157"/>
      <c r="E157"/>
      <c r="F157"/>
      <c r="G157" s="23"/>
      <c r="H157"/>
      <c r="I157"/>
      <c r="K157" s="112"/>
      <c r="L157" s="112"/>
      <c r="M157" s="112"/>
      <c r="N157" s="112"/>
      <c r="O157" s="112"/>
      <c r="P157" s="112"/>
      <c r="Q157" s="112"/>
      <c r="R157" s="112"/>
      <c r="S157" s="7"/>
      <c r="T157" s="7"/>
      <c r="U157" s="7"/>
      <c r="V157" s="7"/>
    </row>
    <row r="158" spans="1:28" s="1" customFormat="1">
      <c r="A158"/>
      <c r="B158"/>
      <c r="C158"/>
      <c r="D158"/>
      <c r="E158"/>
      <c r="F158"/>
      <c r="G158" s="23"/>
      <c r="H158"/>
      <c r="I158"/>
      <c r="K158" s="112"/>
      <c r="L158" s="112"/>
      <c r="M158" s="112"/>
      <c r="N158" s="112"/>
      <c r="O158" s="112"/>
      <c r="P158" s="112"/>
      <c r="Q158" s="112"/>
      <c r="R158" s="112"/>
      <c r="S158" s="7"/>
      <c r="T158" s="7"/>
      <c r="U158" s="7"/>
      <c r="V158" s="7"/>
    </row>
    <row r="159" spans="1:28" s="1" customFormat="1">
      <c r="A159"/>
      <c r="B159"/>
      <c r="C159"/>
      <c r="D159"/>
      <c r="E159"/>
      <c r="F159"/>
      <c r="G159" s="23"/>
      <c r="H159"/>
      <c r="I159"/>
      <c r="K159" s="112"/>
      <c r="L159" s="112"/>
      <c r="M159" s="112"/>
      <c r="N159" s="112"/>
      <c r="O159" s="112"/>
      <c r="P159" s="112"/>
      <c r="Q159" s="112"/>
      <c r="R159" s="112"/>
      <c r="S159" s="7"/>
      <c r="T159" s="7"/>
      <c r="U159" s="7"/>
      <c r="V159" s="7"/>
    </row>
    <row r="160" spans="1:28" s="1" customFormat="1">
      <c r="A160"/>
      <c r="B160"/>
      <c r="C160"/>
      <c r="D160"/>
      <c r="E160"/>
      <c r="F160"/>
      <c r="G160" s="23"/>
      <c r="H160"/>
      <c r="I160"/>
      <c r="K160" s="112"/>
      <c r="L160" s="112"/>
      <c r="M160" s="112"/>
      <c r="N160" s="112"/>
      <c r="O160" s="112"/>
      <c r="P160" s="112"/>
      <c r="Q160" s="112"/>
      <c r="R160" s="112"/>
      <c r="S160" s="7"/>
      <c r="T160" s="7"/>
      <c r="U160" s="7"/>
      <c r="V160" s="7"/>
    </row>
    <row r="161" spans="1:22" s="1" customFormat="1">
      <c r="A161"/>
      <c r="B161"/>
      <c r="C161"/>
      <c r="D161"/>
      <c r="E161"/>
      <c r="F161"/>
      <c r="G161" s="23"/>
      <c r="H161"/>
      <c r="I161"/>
      <c r="K161" s="112"/>
      <c r="L161" s="112"/>
      <c r="M161" s="112"/>
      <c r="N161" s="112"/>
      <c r="O161" s="112"/>
      <c r="P161" s="112"/>
      <c r="Q161" s="112"/>
      <c r="R161" s="112"/>
      <c r="S161" s="7"/>
      <c r="T161" s="7"/>
      <c r="U161" s="7"/>
      <c r="V161" s="7"/>
    </row>
    <row r="162" spans="1:22" s="1" customFormat="1">
      <c r="A162"/>
      <c r="B162"/>
      <c r="C162"/>
      <c r="D162"/>
      <c r="E162"/>
      <c r="F162"/>
      <c r="G162" s="23"/>
      <c r="H162"/>
      <c r="I162"/>
      <c r="K162" s="112"/>
      <c r="L162" s="112"/>
      <c r="M162" s="112"/>
      <c r="N162" s="112"/>
      <c r="O162" s="112"/>
      <c r="P162" s="112"/>
      <c r="Q162" s="112"/>
      <c r="R162" s="112"/>
      <c r="S162" s="7"/>
      <c r="T162" s="7"/>
      <c r="U162" s="7"/>
      <c r="V162" s="7"/>
    </row>
    <row r="163" spans="1:22" s="1" customFormat="1">
      <c r="A163"/>
      <c r="B163"/>
      <c r="C163"/>
      <c r="D163"/>
      <c r="E163"/>
      <c r="F163"/>
      <c r="G163" s="23"/>
      <c r="H163"/>
      <c r="I163"/>
      <c r="K163" s="112"/>
      <c r="L163" s="112"/>
      <c r="M163" s="112"/>
      <c r="N163" s="112"/>
      <c r="O163" s="112"/>
      <c r="P163" s="112"/>
      <c r="Q163" s="112"/>
      <c r="R163" s="112"/>
      <c r="S163" s="7"/>
      <c r="T163" s="7"/>
      <c r="U163" s="7"/>
      <c r="V163" s="7"/>
    </row>
    <row r="164" spans="1:22" s="1" customFormat="1">
      <c r="A164"/>
      <c r="B164"/>
      <c r="C164"/>
      <c r="D164"/>
      <c r="E164"/>
      <c r="F164"/>
      <c r="G164" s="23"/>
      <c r="H164"/>
      <c r="I164"/>
      <c r="K164" s="112"/>
      <c r="L164" s="112"/>
      <c r="M164" s="112"/>
      <c r="N164" s="112"/>
      <c r="O164" s="112"/>
      <c r="P164" s="112"/>
      <c r="Q164" s="112"/>
      <c r="R164" s="112"/>
      <c r="S164" s="7"/>
      <c r="T164" s="7"/>
      <c r="U164" s="7"/>
      <c r="V164" s="7"/>
    </row>
    <row r="165" spans="1:22" s="1" customFormat="1">
      <c r="A165"/>
      <c r="B165"/>
      <c r="C165"/>
      <c r="D165"/>
      <c r="E165"/>
      <c r="F165"/>
      <c r="G165" s="23"/>
      <c r="H165"/>
      <c r="I165"/>
      <c r="K165" s="112"/>
      <c r="L165" s="112"/>
      <c r="M165" s="112"/>
      <c r="N165" s="112"/>
      <c r="O165" s="112"/>
      <c r="P165" s="112"/>
      <c r="Q165" s="112"/>
      <c r="R165" s="112"/>
      <c r="S165" s="7"/>
      <c r="T165" s="7"/>
      <c r="U165" s="7"/>
      <c r="V165" s="7"/>
    </row>
    <row r="166" spans="1:22" s="1" customFormat="1">
      <c r="A166"/>
      <c r="B166"/>
      <c r="C166"/>
      <c r="D166"/>
      <c r="E166"/>
      <c r="F166"/>
      <c r="G166" s="23"/>
      <c r="H166"/>
      <c r="I166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</row>
    <row r="167" spans="1:22" s="1" customFormat="1">
      <c r="A167"/>
      <c r="B167"/>
      <c r="C167"/>
      <c r="D167"/>
      <c r="E167"/>
      <c r="F167"/>
      <c r="G167" s="23"/>
      <c r="H167"/>
      <c r="I16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</row>
    <row r="168" spans="1:22" s="1" customFormat="1">
      <c r="A168"/>
      <c r="B168"/>
      <c r="C168"/>
      <c r="D168"/>
      <c r="E168"/>
      <c r="F168"/>
      <c r="G168" s="23"/>
      <c r="H168"/>
      <c r="I168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</row>
    <row r="169" spans="1:22" s="1" customFormat="1">
      <c r="A169"/>
      <c r="B169"/>
      <c r="C169"/>
      <c r="D169"/>
      <c r="E169"/>
      <c r="F169"/>
      <c r="G169" s="23"/>
      <c r="H169"/>
      <c r="I169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</row>
    <row r="170" spans="1:22" s="1" customFormat="1" ht="13.5" customHeight="1">
      <c r="A170"/>
      <c r="B170"/>
      <c r="C170"/>
      <c r="D170"/>
      <c r="E170"/>
      <c r="F170"/>
      <c r="G170" s="23"/>
      <c r="H170"/>
      <c r="I170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</row>
    <row r="171" spans="1:22" s="1" customFormat="1" ht="13.5" customHeight="1">
      <c r="A171"/>
      <c r="B171"/>
      <c r="C171"/>
      <c r="D171"/>
      <c r="E171"/>
      <c r="F171"/>
      <c r="G171" s="23"/>
      <c r="H171"/>
      <c r="I171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</row>
    <row r="172" spans="1:22" s="1" customFormat="1">
      <c r="A172"/>
      <c r="B172"/>
      <c r="C172"/>
      <c r="D172"/>
      <c r="E172"/>
      <c r="F172"/>
      <c r="G172" s="23"/>
      <c r="H172"/>
      <c r="I172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</row>
    <row r="173" spans="1:22" s="1" customFormat="1">
      <c r="A173"/>
      <c r="B173"/>
      <c r="C173"/>
      <c r="D173"/>
      <c r="E173"/>
      <c r="F173"/>
      <c r="G173" s="23"/>
      <c r="H173"/>
      <c r="I173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</row>
    <row r="174" spans="1:22" s="1" customFormat="1">
      <c r="A174"/>
      <c r="B174"/>
      <c r="C174"/>
      <c r="D174"/>
      <c r="E174"/>
      <c r="F174"/>
      <c r="G174" s="23"/>
      <c r="H174"/>
      <c r="I174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</row>
    <row r="175" spans="1:22" s="1" customFormat="1">
      <c r="A175"/>
      <c r="B175"/>
      <c r="C175"/>
      <c r="D175"/>
      <c r="E175"/>
      <c r="F175"/>
      <c r="G175" s="23"/>
      <c r="H175"/>
      <c r="I175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</row>
    <row r="176" spans="1:22" s="1" customFormat="1">
      <c r="A176"/>
      <c r="B176"/>
      <c r="C176"/>
      <c r="D176"/>
      <c r="E176"/>
      <c r="F176"/>
      <c r="G176" s="23"/>
      <c r="H176"/>
      <c r="I176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</row>
    <row r="177" spans="1:28" s="1" customFormat="1">
      <c r="A177"/>
      <c r="B177"/>
      <c r="C177"/>
      <c r="D177"/>
      <c r="E177"/>
      <c r="F177"/>
      <c r="G177" s="23"/>
      <c r="H177"/>
      <c r="I17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</row>
    <row r="178" spans="1:28" s="1" customFormat="1">
      <c r="A178"/>
      <c r="B178"/>
      <c r="C178"/>
      <c r="D178"/>
      <c r="E178"/>
      <c r="F178"/>
      <c r="G178" s="23"/>
      <c r="H178"/>
      <c r="I178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</row>
    <row r="179" spans="1:28" s="1" customFormat="1">
      <c r="A179"/>
      <c r="B179"/>
      <c r="C179"/>
      <c r="D179"/>
      <c r="E179"/>
      <c r="F179"/>
      <c r="G179" s="23"/>
      <c r="H179"/>
      <c r="I179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</row>
    <row r="180" spans="1:28" s="1" customFormat="1">
      <c r="A180"/>
      <c r="B180"/>
      <c r="C180"/>
      <c r="D180"/>
      <c r="E180"/>
      <c r="F180"/>
      <c r="G180" s="23"/>
      <c r="H180"/>
      <c r="I180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</row>
    <row r="181" spans="1:28" s="1" customFormat="1">
      <c r="A181"/>
      <c r="B181"/>
      <c r="C181"/>
      <c r="D181"/>
      <c r="E181"/>
      <c r="F181"/>
      <c r="G181" s="23"/>
      <c r="H181"/>
      <c r="I181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</row>
    <row r="182" spans="1:28" s="1" customFormat="1">
      <c r="A182"/>
      <c r="B182"/>
      <c r="C182"/>
      <c r="D182"/>
      <c r="E182"/>
      <c r="F182"/>
      <c r="G182" s="23"/>
      <c r="H182"/>
      <c r="I182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</row>
    <row r="183" spans="1:28" s="1" customFormat="1">
      <c r="A183"/>
      <c r="B183"/>
      <c r="C183"/>
      <c r="D183"/>
      <c r="E183"/>
      <c r="F183"/>
      <c r="G183" s="23"/>
      <c r="H183"/>
      <c r="I183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</row>
    <row r="184" spans="1:28" s="1" customFormat="1">
      <c r="A184"/>
      <c r="B184"/>
      <c r="C184"/>
      <c r="D184"/>
      <c r="E184"/>
      <c r="F184"/>
      <c r="G184" s="23"/>
      <c r="H184"/>
      <c r="I184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</row>
    <row r="185" spans="1:28" s="1" customFormat="1">
      <c r="A185"/>
      <c r="B185"/>
      <c r="C185"/>
      <c r="D185"/>
      <c r="E185"/>
      <c r="F185"/>
      <c r="G185" s="23"/>
      <c r="H185"/>
      <c r="I185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</row>
    <row r="186" spans="1:28" s="1" customFormat="1">
      <c r="A186"/>
      <c r="B186"/>
      <c r="C186"/>
      <c r="D186"/>
      <c r="E186"/>
      <c r="F186"/>
      <c r="G186" s="23"/>
      <c r="H186"/>
      <c r="I186"/>
      <c r="J186" s="2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AB186" s="2"/>
    </row>
    <row r="187" spans="1:28" s="1" customFormat="1">
      <c r="A187"/>
      <c r="B187"/>
      <c r="C187"/>
      <c r="D187"/>
      <c r="E187"/>
      <c r="F187"/>
      <c r="G187" s="23"/>
      <c r="H187"/>
      <c r="I187"/>
      <c r="J187" s="2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AB187" s="2"/>
    </row>
    <row r="188" spans="1:28" s="1" customFormat="1">
      <c r="A188"/>
      <c r="B188"/>
      <c r="C188"/>
      <c r="D188"/>
      <c r="E188"/>
      <c r="F188"/>
      <c r="G188" s="23"/>
      <c r="H188"/>
      <c r="I188"/>
      <c r="J188" s="2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AB188" s="2"/>
    </row>
    <row r="189" spans="1:28" s="1" customFormat="1">
      <c r="A189"/>
      <c r="B189"/>
      <c r="C189"/>
      <c r="D189"/>
      <c r="E189"/>
      <c r="F189"/>
      <c r="G189" s="23"/>
      <c r="H189"/>
      <c r="I189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</row>
    <row r="190" spans="1:28" s="1" customFormat="1">
      <c r="A190"/>
      <c r="B190"/>
      <c r="C190"/>
      <c r="D190"/>
      <c r="E190"/>
      <c r="F190"/>
      <c r="G190" s="23"/>
      <c r="H190"/>
      <c r="I190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</row>
    <row r="191" spans="1:28" s="1" customFormat="1">
      <c r="A191"/>
      <c r="B191"/>
      <c r="C191"/>
      <c r="D191"/>
      <c r="E191"/>
      <c r="F191"/>
      <c r="G191" s="23"/>
      <c r="H191"/>
      <c r="I191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</row>
    <row r="192" spans="1:28" s="1" customFormat="1">
      <c r="A192"/>
      <c r="B192"/>
      <c r="C192"/>
      <c r="D192"/>
      <c r="E192"/>
      <c r="F192"/>
      <c r="G192" s="23"/>
      <c r="H192"/>
      <c r="I192"/>
      <c r="J192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</row>
    <row r="193" spans="1:28" s="1" customFormat="1">
      <c r="A193"/>
      <c r="B193"/>
      <c r="C193"/>
      <c r="D193"/>
      <c r="E193"/>
      <c r="F193"/>
      <c r="G193" s="23"/>
      <c r="H193"/>
      <c r="I193"/>
      <c r="J193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</row>
    <row r="194" spans="1:28" s="1" customFormat="1">
      <c r="A194"/>
      <c r="B194"/>
      <c r="C194"/>
      <c r="D194"/>
      <c r="E194"/>
      <c r="F194"/>
      <c r="G194" s="23"/>
      <c r="H194"/>
      <c r="I194"/>
      <c r="J194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</row>
    <row r="195" spans="1:28" s="2" customFormat="1">
      <c r="A195"/>
      <c r="B195"/>
      <c r="C195"/>
      <c r="D195"/>
      <c r="E195"/>
      <c r="F195"/>
      <c r="G195" s="23"/>
      <c r="H195"/>
      <c r="I195"/>
      <c r="J195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AA195" s="1"/>
      <c r="AB195" s="1"/>
    </row>
    <row r="196" spans="1:28" s="2" customFormat="1">
      <c r="A196"/>
      <c r="B196"/>
      <c r="C196"/>
      <c r="D196"/>
      <c r="E196"/>
      <c r="F196"/>
      <c r="G196" s="23"/>
      <c r="H196"/>
      <c r="I196"/>
      <c r="J196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AB196" s="1"/>
    </row>
    <row r="197" spans="1:28" s="2" customFormat="1">
      <c r="A197"/>
      <c r="B197"/>
      <c r="C197"/>
      <c r="D197"/>
      <c r="E197"/>
      <c r="F197"/>
      <c r="G197" s="23"/>
      <c r="H197"/>
      <c r="I197"/>
      <c r="J19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AB197" s="1"/>
    </row>
    <row r="198" spans="1:28" s="1" customFormat="1">
      <c r="A198"/>
      <c r="B198"/>
      <c r="C198"/>
      <c r="D198"/>
      <c r="E198"/>
      <c r="F198"/>
      <c r="G198" s="23"/>
      <c r="H198"/>
      <c r="I198"/>
      <c r="J198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AA198" s="2"/>
    </row>
    <row r="199" spans="1:28" s="1" customFormat="1">
      <c r="A199"/>
      <c r="B199"/>
      <c r="C199"/>
      <c r="D199"/>
      <c r="E199"/>
      <c r="F199"/>
      <c r="G199" s="23"/>
      <c r="H199"/>
      <c r="I199"/>
      <c r="J199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</row>
    <row r="200" spans="1:28" s="1" customFormat="1">
      <c r="A200"/>
      <c r="B200"/>
      <c r="C200"/>
      <c r="D200"/>
      <c r="E200"/>
      <c r="F200"/>
      <c r="G200" s="23"/>
      <c r="H200"/>
      <c r="I200"/>
      <c r="J200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</row>
    <row r="201" spans="1:28">
      <c r="B201"/>
      <c r="C201"/>
      <c r="D201"/>
      <c r="E201"/>
      <c r="G201" s="23"/>
      <c r="H201"/>
      <c r="I201"/>
      <c r="AA201" s="1"/>
      <c r="AB201" s="1"/>
    </row>
    <row r="202" spans="1:28">
      <c r="B202"/>
      <c r="C202"/>
      <c r="D202"/>
      <c r="E202"/>
      <c r="G202" s="23"/>
      <c r="H202"/>
      <c r="I202"/>
      <c r="AB202" s="1"/>
    </row>
    <row r="203" spans="1:28">
      <c r="B203"/>
      <c r="C203"/>
      <c r="D203"/>
      <c r="E203"/>
      <c r="G203" s="23"/>
      <c r="H203"/>
      <c r="I203"/>
      <c r="AB203" s="1"/>
    </row>
    <row r="204" spans="1:28">
      <c r="B204"/>
      <c r="C204"/>
      <c r="D204"/>
      <c r="E204"/>
      <c r="G204" s="23"/>
      <c r="H204"/>
      <c r="I204"/>
      <c r="AB204" s="1"/>
    </row>
    <row r="205" spans="1:28">
      <c r="B205"/>
      <c r="C205"/>
      <c r="D205"/>
      <c r="E205"/>
      <c r="G205" s="23"/>
      <c r="H205"/>
      <c r="I205"/>
      <c r="AB205" s="1"/>
    </row>
    <row r="206" spans="1:28">
      <c r="B206"/>
      <c r="C206"/>
      <c r="D206"/>
      <c r="E206"/>
      <c r="G206" s="23"/>
      <c r="H206"/>
      <c r="I206"/>
      <c r="AB206" s="1"/>
    </row>
    <row r="207" spans="1:28">
      <c r="B207"/>
      <c r="C207"/>
      <c r="D207"/>
      <c r="E207"/>
      <c r="G207" s="23"/>
      <c r="H207"/>
      <c r="I207"/>
      <c r="AB207" s="1"/>
    </row>
    <row r="208" spans="1:28">
      <c r="B208"/>
      <c r="C208"/>
      <c r="D208"/>
      <c r="E208"/>
      <c r="G208" s="23"/>
      <c r="H208"/>
      <c r="I208"/>
      <c r="AB208" s="1"/>
    </row>
    <row r="209" spans="2:28">
      <c r="B209"/>
      <c r="C209"/>
      <c r="D209"/>
      <c r="E209"/>
      <c r="G209" s="23"/>
      <c r="H209"/>
      <c r="I209"/>
      <c r="AB209" s="1"/>
    </row>
    <row r="210" spans="2:28">
      <c r="B210"/>
      <c r="C210"/>
      <c r="D210"/>
      <c r="E210"/>
      <c r="G210" s="23"/>
      <c r="H210"/>
      <c r="I210"/>
      <c r="AB210" s="1"/>
    </row>
    <row r="211" spans="2:28">
      <c r="B211"/>
      <c r="C211"/>
      <c r="D211"/>
      <c r="E211"/>
      <c r="G211" s="23"/>
      <c r="H211"/>
      <c r="I211"/>
      <c r="AB211" s="1"/>
    </row>
    <row r="212" spans="2:28">
      <c r="B212"/>
      <c r="C212"/>
      <c r="D212"/>
      <c r="E212"/>
      <c r="G212" s="23"/>
      <c r="H212"/>
      <c r="I212"/>
      <c r="AB212" s="1"/>
    </row>
    <row r="213" spans="2:28">
      <c r="B213"/>
      <c r="C213"/>
      <c r="D213"/>
      <c r="E213"/>
      <c r="G213" s="23"/>
      <c r="H213"/>
      <c r="I213"/>
      <c r="AB213" s="1"/>
    </row>
    <row r="214" spans="2:28">
      <c r="B214"/>
      <c r="C214"/>
      <c r="D214"/>
      <c r="E214"/>
      <c r="G214" s="23"/>
      <c r="H214"/>
      <c r="I214"/>
      <c r="AB214" s="1"/>
    </row>
    <row r="215" spans="2:28">
      <c r="B215"/>
      <c r="C215"/>
      <c r="D215"/>
      <c r="E215"/>
      <c r="G215" s="23"/>
      <c r="H215"/>
      <c r="I215"/>
      <c r="AB215" s="1"/>
    </row>
    <row r="216" spans="2:28">
      <c r="B216"/>
      <c r="C216"/>
      <c r="D216"/>
      <c r="E216"/>
      <c r="G216" s="23"/>
      <c r="H216"/>
      <c r="I216"/>
      <c r="AB216" s="1"/>
    </row>
    <row r="217" spans="2:28">
      <c r="B217"/>
      <c r="C217"/>
      <c r="D217"/>
      <c r="E217"/>
      <c r="G217" s="23"/>
      <c r="H217"/>
      <c r="I217"/>
      <c r="AB217" s="1"/>
    </row>
    <row r="218" spans="2:28">
      <c r="B218"/>
      <c r="C218"/>
      <c r="D218"/>
      <c r="E218"/>
      <c r="G218" s="23"/>
      <c r="H218"/>
      <c r="I218"/>
      <c r="AB218" s="1"/>
    </row>
    <row r="219" spans="2:28">
      <c r="B219"/>
      <c r="C219"/>
      <c r="D219"/>
      <c r="E219"/>
      <c r="G219" s="23"/>
      <c r="H219"/>
      <c r="I219"/>
      <c r="AB219" s="1"/>
    </row>
    <row r="220" spans="2:28">
      <c r="B220"/>
      <c r="C220"/>
      <c r="D220"/>
      <c r="E220"/>
      <c r="G220" s="23"/>
      <c r="H220"/>
      <c r="I220"/>
      <c r="AB220" s="1"/>
    </row>
    <row r="221" spans="2:28">
      <c r="B221"/>
      <c r="C221"/>
      <c r="D221"/>
      <c r="E221"/>
      <c r="G221" s="23"/>
      <c r="H221"/>
      <c r="I221"/>
      <c r="AB221" s="1"/>
    </row>
    <row r="222" spans="2:28">
      <c r="B222"/>
      <c r="C222"/>
      <c r="D222"/>
      <c r="E222"/>
      <c r="G222" s="23"/>
      <c r="H222"/>
      <c r="I222"/>
      <c r="AB222" s="1"/>
    </row>
    <row r="223" spans="2:28">
      <c r="B223"/>
      <c r="C223"/>
      <c r="D223"/>
      <c r="E223"/>
      <c r="G223" s="23"/>
      <c r="H223"/>
      <c r="I223"/>
      <c r="AB223" s="1"/>
    </row>
    <row r="224" spans="2:28">
      <c r="B224"/>
      <c r="C224"/>
      <c r="D224"/>
      <c r="E224"/>
      <c r="G224" s="23"/>
      <c r="H224"/>
      <c r="I224"/>
      <c r="AB224" s="1"/>
    </row>
    <row r="225" spans="2:28">
      <c r="B225"/>
      <c r="C225"/>
      <c r="D225"/>
      <c r="E225"/>
      <c r="G225" s="23"/>
      <c r="H225"/>
      <c r="I225"/>
      <c r="AB225" s="1"/>
    </row>
    <row r="226" spans="2:28">
      <c r="B226"/>
      <c r="C226"/>
      <c r="D226"/>
      <c r="E226"/>
      <c r="G226" s="23"/>
      <c r="H226"/>
      <c r="I226"/>
      <c r="AB226" s="1"/>
    </row>
    <row r="227" spans="2:28">
      <c r="B227"/>
      <c r="C227"/>
      <c r="D227"/>
      <c r="E227"/>
      <c r="G227" s="23"/>
      <c r="H227"/>
      <c r="I227"/>
      <c r="AB227" s="1"/>
    </row>
    <row r="228" spans="2:28">
      <c r="B228"/>
      <c r="C228"/>
      <c r="D228"/>
      <c r="E228"/>
      <c r="G228" s="23"/>
      <c r="H228"/>
      <c r="I228"/>
      <c r="AB228" s="1"/>
    </row>
    <row r="229" spans="2:28">
      <c r="B229"/>
      <c r="C229"/>
      <c r="D229"/>
      <c r="E229"/>
      <c r="G229" s="23"/>
      <c r="H229"/>
      <c r="I229"/>
      <c r="AB229" s="2"/>
    </row>
    <row r="230" spans="2:28">
      <c r="B230"/>
      <c r="C230"/>
      <c r="D230"/>
      <c r="E230"/>
      <c r="G230" s="23"/>
      <c r="H230"/>
      <c r="I230"/>
      <c r="AB230" s="2"/>
    </row>
    <row r="231" spans="2:28">
      <c r="B231"/>
      <c r="C231"/>
      <c r="D231"/>
      <c r="E231"/>
      <c r="G231" s="23"/>
      <c r="H231"/>
      <c r="I231"/>
      <c r="AB231" s="2"/>
    </row>
    <row r="232" spans="2:28">
      <c r="B232"/>
      <c r="C232"/>
      <c r="D232"/>
      <c r="E232"/>
      <c r="G232" s="23"/>
      <c r="H232"/>
      <c r="I232"/>
      <c r="AB232" s="1"/>
    </row>
    <row r="233" spans="2:28">
      <c r="B233"/>
      <c r="C233"/>
      <c r="D233"/>
      <c r="E233"/>
      <c r="G233" s="23"/>
      <c r="H233"/>
      <c r="I233"/>
      <c r="AB233" s="1"/>
    </row>
    <row r="234" spans="2:28">
      <c r="B234"/>
      <c r="C234"/>
      <c r="D234"/>
      <c r="E234"/>
      <c r="G234" s="23"/>
      <c r="H234"/>
      <c r="I234"/>
      <c r="AB234" s="1"/>
    </row>
    <row r="235" spans="2:28">
      <c r="B235"/>
      <c r="C235"/>
      <c r="D235"/>
      <c r="E235"/>
      <c r="G235" s="23"/>
      <c r="H235"/>
      <c r="I235"/>
    </row>
    <row r="236" spans="2:28">
      <c r="B236"/>
      <c r="C236"/>
      <c r="D236"/>
      <c r="E236"/>
      <c r="G236" s="23"/>
      <c r="H236"/>
      <c r="I236"/>
    </row>
    <row r="237" spans="2:28">
      <c r="B237"/>
      <c r="C237"/>
      <c r="D237"/>
      <c r="E237"/>
      <c r="G237" s="23"/>
      <c r="H237"/>
      <c r="I237"/>
    </row>
    <row r="238" spans="2:28">
      <c r="B238"/>
      <c r="C238"/>
      <c r="D238"/>
      <c r="E238"/>
      <c r="G238" s="23"/>
      <c r="H238"/>
      <c r="I238"/>
    </row>
    <row r="239" spans="2:28">
      <c r="B239"/>
      <c r="C239"/>
      <c r="D239"/>
      <c r="E239"/>
      <c r="G239" s="23"/>
      <c r="H239"/>
      <c r="I239"/>
    </row>
    <row r="240" spans="2:28">
      <c r="B240"/>
      <c r="C240"/>
      <c r="D240"/>
      <c r="E240"/>
      <c r="G240" s="23"/>
      <c r="H240"/>
      <c r="I240"/>
    </row>
    <row r="241" spans="2:9">
      <c r="B241"/>
      <c r="C241"/>
      <c r="D241"/>
      <c r="E241"/>
      <c r="G241" s="23"/>
      <c r="H241"/>
      <c r="I241"/>
    </row>
    <row r="242" spans="2:9">
      <c r="B242"/>
      <c r="C242"/>
      <c r="D242"/>
      <c r="E242"/>
      <c r="G242" s="23"/>
      <c r="H242"/>
      <c r="I242"/>
    </row>
    <row r="243" spans="2:9">
      <c r="B243"/>
      <c r="C243"/>
      <c r="D243"/>
      <c r="E243"/>
      <c r="G243" s="23"/>
      <c r="H243"/>
      <c r="I243"/>
    </row>
    <row r="244" spans="2:9">
      <c r="B244"/>
      <c r="C244"/>
      <c r="D244"/>
      <c r="E244"/>
      <c r="G244" s="23"/>
      <c r="H244"/>
      <c r="I244"/>
    </row>
    <row r="245" spans="2:9">
      <c r="B245"/>
      <c r="C245"/>
      <c r="D245"/>
      <c r="E245"/>
      <c r="G245" s="23"/>
      <c r="H245"/>
      <c r="I245"/>
    </row>
    <row r="246" spans="2:9">
      <c r="B246"/>
      <c r="C246"/>
      <c r="D246"/>
      <c r="E246"/>
      <c r="G246" s="23"/>
      <c r="H246"/>
      <c r="I246"/>
    </row>
    <row r="247" spans="2:9">
      <c r="B247"/>
      <c r="C247"/>
      <c r="D247"/>
      <c r="E247"/>
      <c r="G247" s="23"/>
      <c r="H247"/>
      <c r="I247"/>
    </row>
    <row r="248" spans="2:9">
      <c r="B248"/>
      <c r="C248"/>
      <c r="D248"/>
      <c r="E248"/>
      <c r="G248" s="23"/>
      <c r="H248"/>
      <c r="I248"/>
    </row>
    <row r="249" spans="2:9">
      <c r="B249"/>
      <c r="C249"/>
      <c r="D249"/>
      <c r="E249"/>
      <c r="G249" s="23"/>
      <c r="H249"/>
      <c r="I249"/>
    </row>
    <row r="250" spans="2:9">
      <c r="B250"/>
      <c r="C250"/>
      <c r="D250"/>
      <c r="E250"/>
      <c r="G250" s="23"/>
      <c r="H250"/>
      <c r="I250"/>
    </row>
    <row r="251" spans="2:9">
      <c r="B251"/>
      <c r="C251"/>
      <c r="D251"/>
      <c r="E251"/>
      <c r="G251" s="23"/>
      <c r="H251"/>
      <c r="I251"/>
    </row>
    <row r="252" spans="2:9">
      <c r="B252"/>
      <c r="C252"/>
      <c r="D252"/>
      <c r="E252"/>
      <c r="G252" s="23"/>
      <c r="H252"/>
      <c r="I252"/>
    </row>
    <row r="253" spans="2:9">
      <c r="B253"/>
      <c r="C253"/>
      <c r="D253"/>
      <c r="E253"/>
      <c r="G253" s="23"/>
      <c r="H253"/>
      <c r="I253"/>
    </row>
    <row r="254" spans="2:9">
      <c r="B254"/>
      <c r="C254"/>
      <c r="D254"/>
      <c r="E254"/>
      <c r="G254" s="23"/>
      <c r="H254"/>
      <c r="I254"/>
    </row>
    <row r="255" spans="2:9">
      <c r="B255"/>
      <c r="C255"/>
      <c r="D255"/>
      <c r="E255"/>
      <c r="G255" s="23"/>
      <c r="H255"/>
      <c r="I255"/>
    </row>
    <row r="256" spans="2:9">
      <c r="B256"/>
      <c r="C256"/>
      <c r="D256"/>
      <c r="E256"/>
      <c r="G256" s="23"/>
      <c r="H256"/>
      <c r="I256"/>
    </row>
    <row r="257" spans="2:9">
      <c r="B257"/>
      <c r="C257"/>
      <c r="D257"/>
      <c r="E257"/>
      <c r="G257" s="23"/>
      <c r="H257"/>
      <c r="I257"/>
    </row>
    <row r="258" spans="2:9">
      <c r="B258"/>
      <c r="C258"/>
      <c r="D258"/>
      <c r="E258"/>
      <c r="G258" s="23"/>
      <c r="H258"/>
      <c r="I258"/>
    </row>
    <row r="259" spans="2:9">
      <c r="B259"/>
      <c r="C259"/>
      <c r="D259"/>
      <c r="E259"/>
      <c r="G259" s="23"/>
      <c r="H259"/>
      <c r="I259"/>
    </row>
    <row r="260" spans="2:9">
      <c r="B260"/>
      <c r="C260"/>
      <c r="D260"/>
      <c r="E260"/>
      <c r="G260" s="23"/>
      <c r="H260"/>
      <c r="I260"/>
    </row>
    <row r="261" spans="2:9">
      <c r="B261"/>
      <c r="C261"/>
      <c r="D261"/>
      <c r="E261"/>
      <c r="G261" s="23"/>
      <c r="H261"/>
      <c r="I261"/>
    </row>
    <row r="262" spans="2:9">
      <c r="B262"/>
      <c r="C262"/>
      <c r="D262"/>
      <c r="E262"/>
      <c r="G262" s="23"/>
      <c r="H262"/>
      <c r="I262"/>
    </row>
    <row r="263" spans="2:9">
      <c r="B263"/>
      <c r="C263"/>
      <c r="D263"/>
      <c r="E263"/>
      <c r="G263" s="23"/>
      <c r="H263"/>
      <c r="I263"/>
    </row>
    <row r="264" spans="2:9">
      <c r="B264"/>
      <c r="C264"/>
      <c r="D264"/>
      <c r="E264"/>
      <c r="G264" s="23"/>
      <c r="H264"/>
      <c r="I264"/>
    </row>
    <row r="265" spans="2:9">
      <c r="B265"/>
      <c r="C265"/>
      <c r="D265"/>
      <c r="E265"/>
      <c r="G265" s="23"/>
      <c r="H265"/>
      <c r="I265"/>
    </row>
    <row r="266" spans="2:9">
      <c r="B266"/>
      <c r="C266"/>
      <c r="D266"/>
      <c r="E266"/>
      <c r="G266" s="23"/>
      <c r="H266"/>
      <c r="I266"/>
    </row>
    <row r="267" spans="2:9">
      <c r="B267"/>
      <c r="C267"/>
      <c r="D267"/>
      <c r="E267"/>
      <c r="G267" s="23"/>
      <c r="H267"/>
      <c r="I267"/>
    </row>
    <row r="268" spans="2:9">
      <c r="B268"/>
      <c r="C268"/>
      <c r="D268"/>
      <c r="E268"/>
      <c r="G268" s="23"/>
      <c r="H268"/>
      <c r="I268"/>
    </row>
    <row r="269" spans="2:9">
      <c r="B269"/>
      <c r="C269"/>
      <c r="D269"/>
      <c r="E269"/>
      <c r="G269" s="23"/>
      <c r="H269"/>
      <c r="I269"/>
    </row>
    <row r="270" spans="2:9">
      <c r="B270"/>
      <c r="C270"/>
      <c r="D270"/>
      <c r="E270"/>
      <c r="G270" s="23"/>
      <c r="H270"/>
      <c r="I270"/>
    </row>
    <row r="271" spans="2:9">
      <c r="B271"/>
      <c r="C271"/>
      <c r="D271"/>
      <c r="E271"/>
      <c r="G271" s="23"/>
      <c r="H271"/>
      <c r="I271"/>
    </row>
    <row r="272" spans="2:9">
      <c r="B272"/>
      <c r="C272"/>
      <c r="D272"/>
      <c r="E272"/>
      <c r="G272" s="23"/>
      <c r="H272"/>
      <c r="I272"/>
    </row>
    <row r="273" spans="2:9">
      <c r="B273"/>
      <c r="C273"/>
      <c r="D273"/>
      <c r="E273"/>
      <c r="G273" s="23"/>
      <c r="H273"/>
      <c r="I273"/>
    </row>
    <row r="274" spans="2:9">
      <c r="B274"/>
      <c r="C274"/>
      <c r="D274"/>
      <c r="E274"/>
      <c r="G274" s="23"/>
      <c r="H274"/>
      <c r="I274"/>
    </row>
    <row r="275" spans="2:9">
      <c r="B275"/>
      <c r="C275"/>
      <c r="D275"/>
      <c r="E275"/>
      <c r="G275" s="23"/>
      <c r="H275"/>
      <c r="I275"/>
    </row>
    <row r="276" spans="2:9">
      <c r="B276"/>
      <c r="C276"/>
      <c r="D276"/>
      <c r="E276"/>
      <c r="G276" s="23"/>
      <c r="H276"/>
      <c r="I276"/>
    </row>
    <row r="277" spans="2:9">
      <c r="B277"/>
      <c r="C277"/>
      <c r="D277"/>
      <c r="E277"/>
      <c r="G277" s="23"/>
      <c r="H277"/>
      <c r="I277"/>
    </row>
    <row r="278" spans="2:9">
      <c r="B278"/>
      <c r="C278"/>
      <c r="D278"/>
      <c r="E278"/>
      <c r="G278" s="23"/>
      <c r="H278"/>
      <c r="I278"/>
    </row>
    <row r="279" spans="2:9">
      <c r="B279"/>
      <c r="C279"/>
      <c r="D279"/>
      <c r="E279"/>
      <c r="G279" s="23"/>
      <c r="H279"/>
      <c r="I279"/>
    </row>
    <row r="280" spans="2:9">
      <c r="B280"/>
      <c r="C280"/>
      <c r="D280"/>
      <c r="E280"/>
      <c r="G280" s="23"/>
      <c r="H280"/>
      <c r="I280"/>
    </row>
    <row r="281" spans="2:9">
      <c r="B281"/>
      <c r="C281"/>
      <c r="D281"/>
      <c r="E281"/>
      <c r="G281" s="23"/>
      <c r="H281"/>
      <c r="I281"/>
    </row>
    <row r="282" spans="2:9">
      <c r="B282"/>
      <c r="C282"/>
      <c r="D282"/>
      <c r="E282"/>
      <c r="G282" s="23"/>
      <c r="H282"/>
      <c r="I282"/>
    </row>
    <row r="283" spans="2:9">
      <c r="B283"/>
      <c r="C283"/>
      <c r="D283"/>
      <c r="E283"/>
      <c r="G283" s="23"/>
      <c r="H283"/>
      <c r="I283"/>
    </row>
    <row r="284" spans="2:9">
      <c r="B284"/>
      <c r="C284"/>
      <c r="D284"/>
      <c r="E284"/>
      <c r="G284" s="23"/>
      <c r="H284"/>
      <c r="I284"/>
    </row>
    <row r="285" spans="2:9">
      <c r="B285"/>
      <c r="C285"/>
      <c r="D285"/>
      <c r="E285"/>
      <c r="G285" s="23"/>
      <c r="H285"/>
      <c r="I285"/>
    </row>
    <row r="286" spans="2:9">
      <c r="B286"/>
      <c r="C286"/>
      <c r="D286"/>
      <c r="E286"/>
      <c r="G286" s="23"/>
      <c r="H286"/>
      <c r="I286"/>
    </row>
    <row r="287" spans="2:9">
      <c r="B287"/>
      <c r="C287"/>
      <c r="D287"/>
      <c r="E287"/>
      <c r="G287" s="23"/>
      <c r="H287"/>
      <c r="I287"/>
    </row>
    <row r="288" spans="2:9">
      <c r="B288"/>
      <c r="C288"/>
      <c r="D288"/>
      <c r="E288"/>
      <c r="G288" s="23"/>
      <c r="H288"/>
      <c r="I288"/>
    </row>
    <row r="289" spans="2:9">
      <c r="B289"/>
      <c r="C289"/>
      <c r="D289"/>
      <c r="E289"/>
      <c r="G289" s="23"/>
      <c r="H289"/>
      <c r="I289"/>
    </row>
    <row r="290" spans="2:9">
      <c r="B290"/>
      <c r="C290"/>
      <c r="D290"/>
      <c r="E290"/>
      <c r="G290" s="23"/>
      <c r="H290"/>
      <c r="I290"/>
    </row>
    <row r="291" spans="2:9">
      <c r="B291"/>
      <c r="C291"/>
      <c r="D291"/>
      <c r="E291"/>
      <c r="G291" s="23"/>
      <c r="H291"/>
      <c r="I291"/>
    </row>
    <row r="292" spans="2:9">
      <c r="B292"/>
      <c r="C292"/>
      <c r="D292"/>
      <c r="E292"/>
      <c r="G292" s="23"/>
      <c r="H292"/>
      <c r="I292"/>
    </row>
    <row r="293" spans="2:9">
      <c r="B293"/>
      <c r="C293"/>
      <c r="D293"/>
      <c r="E293"/>
      <c r="G293" s="23"/>
      <c r="H293"/>
      <c r="I293"/>
    </row>
    <row r="294" spans="2:9">
      <c r="B294"/>
      <c r="C294"/>
      <c r="D294"/>
      <c r="E294"/>
      <c r="G294" s="23"/>
      <c r="H294"/>
      <c r="I294"/>
    </row>
    <row r="295" spans="2:9">
      <c r="B295"/>
      <c r="C295"/>
      <c r="D295"/>
      <c r="E295"/>
      <c r="G295" s="23"/>
      <c r="H295"/>
      <c r="I295"/>
    </row>
    <row r="296" spans="2:9">
      <c r="B296"/>
      <c r="C296"/>
      <c r="D296"/>
      <c r="E296"/>
      <c r="G296" s="23"/>
      <c r="H296"/>
      <c r="I296"/>
    </row>
    <row r="297" spans="2:9">
      <c r="B297"/>
      <c r="C297"/>
      <c r="D297"/>
      <c r="E297"/>
      <c r="G297" s="23"/>
      <c r="H297"/>
      <c r="I297"/>
    </row>
    <row r="298" spans="2:9">
      <c r="B298"/>
      <c r="C298"/>
      <c r="D298"/>
      <c r="E298"/>
      <c r="G298" s="23"/>
      <c r="H298"/>
      <c r="I298"/>
    </row>
    <row r="299" spans="2:9">
      <c r="B299"/>
      <c r="C299"/>
      <c r="D299"/>
      <c r="E299"/>
      <c r="G299" s="23"/>
      <c r="H299"/>
      <c r="I299"/>
    </row>
    <row r="300" spans="2:9">
      <c r="B300"/>
      <c r="C300"/>
      <c r="D300"/>
      <c r="E300"/>
      <c r="G300" s="23"/>
      <c r="H300"/>
      <c r="I300"/>
    </row>
    <row r="301" spans="2:9">
      <c r="B301"/>
      <c r="C301"/>
      <c r="D301"/>
      <c r="E301"/>
      <c r="G301" s="23"/>
      <c r="H301"/>
      <c r="I301"/>
    </row>
    <row r="302" spans="2:9">
      <c r="B302"/>
      <c r="C302"/>
      <c r="D302"/>
      <c r="E302"/>
      <c r="G302" s="23"/>
      <c r="H302"/>
      <c r="I302"/>
    </row>
    <row r="303" spans="2:9">
      <c r="B303"/>
      <c r="C303"/>
      <c r="D303"/>
      <c r="E303"/>
      <c r="G303" s="23"/>
      <c r="H303"/>
      <c r="I303"/>
    </row>
    <row r="304" spans="2:9">
      <c r="B304"/>
      <c r="C304"/>
      <c r="D304"/>
      <c r="E304"/>
      <c r="G304" s="23"/>
      <c r="H304"/>
      <c r="I304"/>
    </row>
    <row r="305" spans="2:9">
      <c r="B305"/>
      <c r="C305"/>
      <c r="D305"/>
      <c r="E305"/>
      <c r="G305" s="23"/>
      <c r="H305"/>
      <c r="I305"/>
    </row>
    <row r="306" spans="2:9">
      <c r="B306"/>
      <c r="C306"/>
      <c r="D306"/>
      <c r="E306"/>
      <c r="G306" s="23"/>
      <c r="H306"/>
      <c r="I306"/>
    </row>
    <row r="307" spans="2:9">
      <c r="B307"/>
      <c r="C307"/>
      <c r="D307"/>
      <c r="E307"/>
      <c r="G307" s="23"/>
      <c r="H307"/>
      <c r="I307"/>
    </row>
    <row r="308" spans="2:9">
      <c r="B308"/>
      <c r="C308"/>
      <c r="D308"/>
      <c r="E308"/>
      <c r="G308" s="23"/>
      <c r="H308"/>
      <c r="I308"/>
    </row>
    <row r="309" spans="2:9">
      <c r="B309"/>
      <c r="C309"/>
      <c r="D309"/>
      <c r="E309"/>
      <c r="G309" s="23"/>
      <c r="H309"/>
      <c r="I309"/>
    </row>
    <row r="310" spans="2:9">
      <c r="B310"/>
      <c r="C310"/>
      <c r="D310"/>
      <c r="E310"/>
      <c r="G310" s="23"/>
      <c r="H310"/>
      <c r="I310"/>
    </row>
    <row r="311" spans="2:9">
      <c r="B311"/>
      <c r="C311"/>
      <c r="D311"/>
      <c r="E311"/>
      <c r="G311" s="23"/>
      <c r="H311"/>
      <c r="I311"/>
    </row>
    <row r="312" spans="2:9">
      <c r="B312"/>
      <c r="C312"/>
      <c r="D312"/>
      <c r="E312"/>
      <c r="G312" s="23"/>
      <c r="H312"/>
      <c r="I312"/>
    </row>
    <row r="313" spans="2:9">
      <c r="B313"/>
      <c r="C313"/>
      <c r="D313"/>
      <c r="E313"/>
      <c r="G313" s="23"/>
      <c r="H313"/>
      <c r="I313"/>
    </row>
    <row r="314" spans="2:9">
      <c r="B314"/>
      <c r="C314"/>
      <c r="D314"/>
      <c r="E314"/>
      <c r="G314" s="23"/>
      <c r="H314"/>
      <c r="I314"/>
    </row>
    <row r="315" spans="2:9">
      <c r="B315"/>
      <c r="C315"/>
      <c r="D315"/>
      <c r="E315"/>
      <c r="G315" s="23"/>
      <c r="H315"/>
      <c r="I315"/>
    </row>
    <row r="316" spans="2:9">
      <c r="B316"/>
      <c r="C316"/>
      <c r="D316"/>
      <c r="E316"/>
      <c r="G316" s="23"/>
      <c r="H316"/>
      <c r="I316"/>
    </row>
    <row r="317" spans="2:9">
      <c r="B317"/>
      <c r="C317"/>
      <c r="D317"/>
      <c r="E317"/>
      <c r="G317" s="23"/>
      <c r="H317"/>
      <c r="I317"/>
    </row>
    <row r="318" spans="2:9">
      <c r="B318"/>
      <c r="C318"/>
      <c r="D318"/>
      <c r="E318"/>
      <c r="G318" s="23"/>
      <c r="H318"/>
      <c r="I318"/>
    </row>
    <row r="319" spans="2:9">
      <c r="B319"/>
      <c r="C319"/>
      <c r="D319"/>
      <c r="E319"/>
      <c r="G319" s="23"/>
      <c r="H319"/>
      <c r="I319"/>
    </row>
    <row r="320" spans="2:9">
      <c r="B320"/>
      <c r="C320"/>
      <c r="D320"/>
      <c r="E320"/>
      <c r="G320" s="23"/>
      <c r="H320"/>
      <c r="I320"/>
    </row>
    <row r="321" spans="2:9">
      <c r="B321"/>
      <c r="C321"/>
      <c r="D321"/>
      <c r="E321"/>
      <c r="G321" s="23"/>
      <c r="H321"/>
      <c r="I321"/>
    </row>
    <row r="322" spans="2:9">
      <c r="B322"/>
      <c r="C322"/>
      <c r="D322"/>
      <c r="E322"/>
      <c r="G322" s="23"/>
      <c r="H322"/>
      <c r="I322"/>
    </row>
    <row r="323" spans="2:9">
      <c r="B323"/>
      <c r="C323"/>
      <c r="D323"/>
      <c r="E323"/>
      <c r="G323" s="23"/>
      <c r="H323"/>
      <c r="I323"/>
    </row>
    <row r="324" spans="2:9">
      <c r="B324"/>
      <c r="C324"/>
      <c r="D324"/>
      <c r="E324"/>
      <c r="G324" s="23"/>
      <c r="H324"/>
      <c r="I324"/>
    </row>
    <row r="325" spans="2:9">
      <c r="I325"/>
    </row>
  </sheetData>
  <sheetProtection sheet="1" objects="1" scenarios="1"/>
  <protectedRanges>
    <protectedRange algorithmName="SHA-512" hashValue="2BCugcBkZYR9CingMkmnLvlTxBKFwRX6VJbWu+4yaeRnX5loeOQgwnvLsB+7fDMCy01zZ2dbEroiVijs/wPzHg==" saltValue="d/oPcA4I7nIYw3bIDufWnQ==" spinCount="100000" sqref="Z1:Z3 U9:X14 U15:U19 V1:Y1 Z9:Z10 X10:Y10 H13:H25 U1:U8 AB1:AB4 AC1:AD1 AB6:AB8 AB10:AB12 AB14:AB16 AB18:AB20 AB22:AB24 AB34:AB36 AC30:AD41 AB38:AB40 AB42:AB44 AC45:AD1048576 AB46:AB48 AB58:AB1048576 T22:T54 U21:U54 V15:X54 Y12:Z54 U55:Z55 T56:Z1048576 AB26:AB29 AB31:AB32 AB50:AB52 AA1:AA1048576 AB54:AB56 T8 T2:T6" name="Cellen beveiligen"/>
  </protectedRanges>
  <sortState xmlns:xlrd2="http://schemas.microsoft.com/office/spreadsheetml/2017/richdata2" ref="A5:E150">
    <sortCondition ref="A5"/>
  </sortState>
  <mergeCells count="61">
    <mergeCell ref="B1:C1"/>
    <mergeCell ref="K21:L21"/>
    <mergeCell ref="M21:N21"/>
    <mergeCell ref="P21:Q21"/>
    <mergeCell ref="R21:S21"/>
    <mergeCell ref="K11:L11"/>
    <mergeCell ref="R2:S3"/>
    <mergeCell ref="R16:S16"/>
    <mergeCell ref="P13:Q13"/>
    <mergeCell ref="G1:G4"/>
    <mergeCell ref="M11:N11"/>
    <mergeCell ref="P11:Q11"/>
    <mergeCell ref="R14:S14"/>
    <mergeCell ref="M9:N9"/>
    <mergeCell ref="P9:Q9"/>
    <mergeCell ref="K13:L13"/>
    <mergeCell ref="K22:L22"/>
    <mergeCell ref="M22:N22"/>
    <mergeCell ref="P22:Q22"/>
    <mergeCell ref="R22:S22"/>
    <mergeCell ref="R9:S9"/>
    <mergeCell ref="R13:S13"/>
    <mergeCell ref="R12:S12"/>
    <mergeCell ref="K14:L14"/>
    <mergeCell ref="M14:N14"/>
    <mergeCell ref="P14:Q14"/>
    <mergeCell ref="K9:L9"/>
    <mergeCell ref="R10:S10"/>
    <mergeCell ref="R11:S11"/>
    <mergeCell ref="P10:Q10"/>
    <mergeCell ref="M12:N12"/>
    <mergeCell ref="P12:Q12"/>
    <mergeCell ref="M13:N13"/>
    <mergeCell ref="R6:S6"/>
    <mergeCell ref="R7:S7"/>
    <mergeCell ref="K12:L12"/>
    <mergeCell ref="K10:L10"/>
    <mergeCell ref="M10:N10"/>
    <mergeCell ref="K15:L15"/>
    <mergeCell ref="M15:N15"/>
    <mergeCell ref="P15:Q15"/>
    <mergeCell ref="R15:S15"/>
    <mergeCell ref="K19:L19"/>
    <mergeCell ref="M19:N19"/>
    <mergeCell ref="P19:Q19"/>
    <mergeCell ref="R19:S19"/>
    <mergeCell ref="K18:L18"/>
    <mergeCell ref="M18:N18"/>
    <mergeCell ref="P18:Q18"/>
    <mergeCell ref="R18:S18"/>
    <mergeCell ref="R17:S17"/>
    <mergeCell ref="K17:L17"/>
    <mergeCell ref="M17:N17"/>
    <mergeCell ref="P17:Q17"/>
    <mergeCell ref="K16:L16"/>
    <mergeCell ref="M16:N16"/>
    <mergeCell ref="P16:Q16"/>
    <mergeCell ref="R20:S20"/>
    <mergeCell ref="P20:Q20"/>
    <mergeCell ref="K20:L20"/>
    <mergeCell ref="M20:N20"/>
  </mergeCells>
  <phoneticPr fontId="0" type="noConversion"/>
  <conditionalFormatting sqref="F5:F64">
    <cfRule type="containsText" dxfId="4" priority="10" stopIfTrue="1" operator="containsText" text="Klas">
      <formula>NOT(ISERROR(SEARCH("Klas",F5)))</formula>
    </cfRule>
  </conditionalFormatting>
  <conditionalFormatting sqref="E4">
    <cfRule type="containsText" dxfId="3" priority="2" stopIfTrue="1" operator="containsText" text="Loting">
      <formula>NOT(ISERROR(SEARCH("Loting",E4)))</formula>
    </cfRule>
    <cfRule type="containsText" dxfId="2" priority="3" stopIfTrue="1" operator="containsText" text="R">
      <formula>NOT(ISERROR(SEARCH("R",E4)))</formula>
    </cfRule>
  </conditionalFormatting>
  <conditionalFormatting sqref="G5:G41">
    <cfRule type="cellIs" dxfId="1" priority="1" operator="greaterThan">
      <formula>0.5</formula>
    </cfRule>
  </conditionalFormatting>
  <pageMargins left="7.874015748031496E-2" right="0.23622047244094491" top="0.23622047244094491" bottom="0.39370078740157483" header="0" footer="0"/>
  <pageSetup paperSize="9" orientation="landscape" r:id="rId1"/>
  <headerFooter alignWithMargins="0"/>
  <rowBreaks count="6" manualBreakCount="6">
    <brk id="28" max="16383" man="1"/>
    <brk id="35" max="16383" man="1"/>
    <brk id="42" max="16383" man="1"/>
    <brk id="49" max="16383" man="1"/>
    <brk id="56" max="16383" man="1"/>
    <brk id="63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1:V60"/>
  <sheetViews>
    <sheetView topLeftCell="A9" workbookViewId="0">
      <selection activeCell="L6" sqref="L6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8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10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" width="10.7109375" style="15" bestFit="1" customWidth="1"/>
    <col min="17" max="16384" width="9.140625" style="15"/>
  </cols>
  <sheetData>
    <row r="1" spans="1:22" ht="15.75" thickBot="1">
      <c r="A1" s="46"/>
      <c r="B1" s="43"/>
      <c r="C1" s="66"/>
      <c r="D1" s="68">
        <v>2</v>
      </c>
      <c r="E1" s="210" t="s">
        <v>52</v>
      </c>
      <c r="F1" s="211" t="s">
        <v>53</v>
      </c>
    </row>
    <row r="2" spans="1:22" ht="12.75" customHeight="1">
      <c r="A2" s="47">
        <v>1</v>
      </c>
      <c r="B2" s="48"/>
      <c r="C2" s="7" t="s">
        <v>254</v>
      </c>
      <c r="D2">
        <v>1</v>
      </c>
      <c r="E2" s="20">
        <v>6</v>
      </c>
      <c r="F2" s="209">
        <v>3</v>
      </c>
      <c r="K2" s="245"/>
      <c r="L2" s="245"/>
    </row>
    <row r="3" spans="1:22" ht="12.75" customHeight="1">
      <c r="B3" s="48"/>
      <c r="C3" s="7" t="s">
        <v>268</v>
      </c>
      <c r="D3"/>
      <c r="E3" s="20">
        <v>1</v>
      </c>
      <c r="F3" s="19">
        <v>3</v>
      </c>
      <c r="K3" s="245"/>
      <c r="L3" s="245"/>
    </row>
    <row r="4" spans="1:22" ht="12.75" customHeight="1">
      <c r="B4" s="48"/>
      <c r="C4" s="7" t="s">
        <v>256</v>
      </c>
      <c r="D4">
        <v>3</v>
      </c>
      <c r="E4" s="20">
        <v>10</v>
      </c>
      <c r="F4" s="19">
        <v>1</v>
      </c>
      <c r="H4" s="63"/>
      <c r="J4" s="44"/>
      <c r="K4" s="245"/>
      <c r="L4" s="245"/>
      <c r="M4" s="44"/>
    </row>
    <row r="5" spans="1:22" ht="12.75" customHeight="1">
      <c r="A5" s="64"/>
      <c r="B5" s="65"/>
      <c r="C5" s="7"/>
      <c r="D5">
        <v>10</v>
      </c>
      <c r="E5" s="20">
        <v>3</v>
      </c>
      <c r="F5" s="19">
        <v>6</v>
      </c>
      <c r="K5" s="245"/>
      <c r="L5" s="245"/>
    </row>
    <row r="6" spans="1:22" ht="12.75" customHeight="1">
      <c r="A6" s="143">
        <v>2</v>
      </c>
      <c r="B6" s="144"/>
      <c r="C6" s="207" t="s">
        <v>233</v>
      </c>
      <c r="D6"/>
      <c r="E6" s="207">
        <v>10</v>
      </c>
      <c r="F6" s="146"/>
      <c r="K6" s="245"/>
      <c r="L6" s="245"/>
    </row>
    <row r="7" spans="1:22" ht="12.75" customHeight="1">
      <c r="A7" s="143"/>
      <c r="B7" s="144"/>
      <c r="C7" s="207" t="s">
        <v>235</v>
      </c>
      <c r="D7">
        <v>6</v>
      </c>
      <c r="E7" s="207">
        <v>3</v>
      </c>
      <c r="F7" s="146">
        <v>3</v>
      </c>
      <c r="N7" s="7"/>
    </row>
    <row r="8" spans="1:22" ht="12.75" customHeight="1">
      <c r="A8" s="143"/>
      <c r="B8" s="144"/>
      <c r="C8" s="207" t="s">
        <v>241</v>
      </c>
      <c r="D8"/>
      <c r="E8" s="207">
        <v>1</v>
      </c>
      <c r="F8" s="146">
        <v>1</v>
      </c>
      <c r="V8" s="112"/>
    </row>
    <row r="9" spans="1:22" ht="12.75" customHeight="1">
      <c r="A9" s="147"/>
      <c r="B9" s="148"/>
      <c r="C9" s="207" t="s">
        <v>229</v>
      </c>
      <c r="D9">
        <v>1</v>
      </c>
      <c r="E9" s="207">
        <v>6</v>
      </c>
      <c r="F9" s="146">
        <v>3</v>
      </c>
    </row>
    <row r="10" spans="1:22" ht="12.75" customHeight="1">
      <c r="A10" s="47">
        <v>3</v>
      </c>
      <c r="B10" s="48"/>
      <c r="C10" s="7" t="s">
        <v>231</v>
      </c>
      <c r="D10">
        <v>3</v>
      </c>
      <c r="E10" s="225">
        <v>6</v>
      </c>
      <c r="F10" s="19"/>
    </row>
    <row r="11" spans="1:22">
      <c r="B11" s="48"/>
      <c r="C11" s="7" t="s">
        <v>248</v>
      </c>
      <c r="D11">
        <v>10</v>
      </c>
      <c r="E11" s="226">
        <v>1</v>
      </c>
      <c r="F11" s="19">
        <v>3</v>
      </c>
    </row>
    <row r="12" spans="1:22">
      <c r="B12" s="48"/>
      <c r="C12" s="7" t="s">
        <v>292</v>
      </c>
      <c r="D12"/>
      <c r="E12" s="140">
        <v>10</v>
      </c>
      <c r="F12" s="19">
        <v>3</v>
      </c>
      <c r="O12" s="7"/>
    </row>
    <row r="13" spans="1:22">
      <c r="A13" s="64"/>
      <c r="B13" s="65"/>
      <c r="C13" s="7" t="s">
        <v>135</v>
      </c>
      <c r="D13"/>
      <c r="E13" s="226">
        <v>3</v>
      </c>
      <c r="F13" s="19">
        <v>2</v>
      </c>
    </row>
    <row r="14" spans="1:22">
      <c r="A14" s="143">
        <v>4</v>
      </c>
      <c r="B14" s="144"/>
      <c r="C14" s="207" t="s">
        <v>293</v>
      </c>
      <c r="D14"/>
      <c r="E14" s="207">
        <v>6</v>
      </c>
      <c r="F14" s="149"/>
    </row>
    <row r="15" spans="1:22">
      <c r="A15" s="143"/>
      <c r="B15" s="144"/>
      <c r="C15" s="207" t="s">
        <v>269</v>
      </c>
      <c r="D15">
        <v>1</v>
      </c>
      <c r="E15" s="207">
        <v>10</v>
      </c>
      <c r="F15" s="150"/>
    </row>
    <row r="16" spans="1:22">
      <c r="A16" s="143"/>
      <c r="B16" s="144"/>
      <c r="C16" s="207" t="s">
        <v>270</v>
      </c>
      <c r="D16">
        <v>6</v>
      </c>
      <c r="E16" s="207">
        <v>1</v>
      </c>
      <c r="F16" s="150"/>
      <c r="J16" s="47"/>
      <c r="M16" s="47"/>
    </row>
    <row r="17" spans="1:15">
      <c r="A17" s="147"/>
      <c r="B17" s="148"/>
      <c r="C17" s="207" t="s">
        <v>119</v>
      </c>
      <c r="D17">
        <v>3</v>
      </c>
      <c r="E17" s="207">
        <v>3</v>
      </c>
      <c r="F17" s="150"/>
      <c r="M17" s="47"/>
    </row>
    <row r="18" spans="1:15">
      <c r="A18" s="47">
        <v>5</v>
      </c>
      <c r="B18" s="48"/>
      <c r="C18" s="7" t="s">
        <v>232</v>
      </c>
      <c r="D18">
        <v>10</v>
      </c>
      <c r="E18" s="20">
        <v>1</v>
      </c>
      <c r="F18" s="87"/>
      <c r="M18" s="47"/>
    </row>
    <row r="19" spans="1:15">
      <c r="B19" s="48"/>
      <c r="C19" s="7" t="s">
        <v>252</v>
      </c>
      <c r="D19"/>
      <c r="E19" s="20">
        <v>10</v>
      </c>
      <c r="F19" s="87"/>
      <c r="M19" s="47"/>
    </row>
    <row r="20" spans="1:15">
      <c r="B20" s="48"/>
      <c r="C20" s="7" t="s">
        <v>246</v>
      </c>
      <c r="D20">
        <v>1</v>
      </c>
      <c r="E20" s="20">
        <v>3</v>
      </c>
      <c r="F20" s="87"/>
      <c r="M20" s="47"/>
    </row>
    <row r="21" spans="1:15">
      <c r="A21" s="64"/>
      <c r="B21" s="65"/>
      <c r="C21" s="7" t="s">
        <v>291</v>
      </c>
      <c r="D21">
        <v>6</v>
      </c>
      <c r="E21" s="20">
        <v>6</v>
      </c>
      <c r="F21" s="87"/>
      <c r="M21" s="47"/>
    </row>
    <row r="22" spans="1:15">
      <c r="A22" s="143">
        <v>6</v>
      </c>
      <c r="B22" s="144"/>
      <c r="C22" s="207" t="s">
        <v>249</v>
      </c>
      <c r="D22">
        <v>3</v>
      </c>
      <c r="E22" s="207">
        <v>3</v>
      </c>
      <c r="F22" s="146"/>
      <c r="M22" s="47"/>
    </row>
    <row r="23" spans="1:15">
      <c r="A23" s="143"/>
      <c r="B23" s="144"/>
      <c r="C23" s="207" t="s">
        <v>230</v>
      </c>
      <c r="D23">
        <v>10</v>
      </c>
      <c r="E23" s="207">
        <v>10</v>
      </c>
      <c r="F23" s="146">
        <v>1</v>
      </c>
      <c r="J23" s="47"/>
      <c r="M23" s="47"/>
    </row>
    <row r="24" spans="1:15">
      <c r="A24" s="143"/>
      <c r="B24" s="144"/>
      <c r="C24" s="207" t="s">
        <v>238</v>
      </c>
      <c r="D24"/>
      <c r="E24" s="207">
        <v>6</v>
      </c>
      <c r="F24" s="146">
        <v>1</v>
      </c>
      <c r="H24" s="63"/>
      <c r="J24" s="47"/>
      <c r="M24" s="47"/>
      <c r="N24" s="7"/>
    </row>
    <row r="25" spans="1:15">
      <c r="A25" s="147"/>
      <c r="B25" s="148"/>
      <c r="C25" s="207" t="s">
        <v>263</v>
      </c>
      <c r="D25"/>
      <c r="E25" s="207">
        <v>3</v>
      </c>
      <c r="F25" s="146">
        <v>2</v>
      </c>
      <c r="H25" s="63"/>
      <c r="I25" s="185"/>
      <c r="J25" s="67"/>
      <c r="M25" s="67"/>
    </row>
    <row r="26" spans="1:15">
      <c r="A26" s="47">
        <v>7</v>
      </c>
      <c r="B26" s="48"/>
      <c r="C26" s="7" t="s">
        <v>244</v>
      </c>
      <c r="D26">
        <v>1</v>
      </c>
      <c r="E26" s="225">
        <v>6</v>
      </c>
      <c r="F26" s="19"/>
      <c r="J26" s="47"/>
      <c r="M26" s="47"/>
      <c r="O26" s="45"/>
    </row>
    <row r="27" spans="1:15">
      <c r="B27" s="48"/>
      <c r="C27" s="7" t="s">
        <v>294</v>
      </c>
      <c r="D27">
        <v>6</v>
      </c>
      <c r="E27" s="226">
        <v>1</v>
      </c>
      <c r="F27" s="19">
        <v>1</v>
      </c>
      <c r="J27" s="47"/>
      <c r="M27" s="47"/>
    </row>
    <row r="28" spans="1:15">
      <c r="B28" s="48"/>
      <c r="C28" s="7" t="s">
        <v>260</v>
      </c>
      <c r="D28">
        <v>10</v>
      </c>
      <c r="E28" s="226">
        <v>10</v>
      </c>
      <c r="F28" s="19">
        <v>2</v>
      </c>
      <c r="J28" s="47"/>
      <c r="M28" s="47"/>
    </row>
    <row r="29" spans="1:15" ht="13.5" thickBot="1">
      <c r="A29" s="64"/>
      <c r="B29" s="65"/>
      <c r="C29" s="7" t="s">
        <v>228</v>
      </c>
      <c r="D29"/>
      <c r="E29" s="226">
        <v>3</v>
      </c>
      <c r="F29" s="19">
        <v>1</v>
      </c>
      <c r="H29" s="128" t="s">
        <v>130</v>
      </c>
      <c r="I29" s="220"/>
      <c r="K29" s="130" t="s">
        <v>120</v>
      </c>
      <c r="M29" s="47"/>
    </row>
    <row r="30" spans="1:15" ht="13.5" thickTop="1">
      <c r="A30" s="143">
        <v>8</v>
      </c>
      <c r="B30" s="144"/>
      <c r="C30" s="146" t="s">
        <v>237</v>
      </c>
      <c r="D30" s="145"/>
      <c r="E30" s="207">
        <v>3</v>
      </c>
      <c r="F30" s="149">
        <v>5</v>
      </c>
      <c r="H30" s="127">
        <v>1</v>
      </c>
      <c r="I30" s="125">
        <f>COUNTIF(E$2:E$60,H30)</f>
        <v>8</v>
      </c>
      <c r="K30" s="19">
        <f>SUM(F2:F55)</f>
        <v>60</v>
      </c>
      <c r="M30" s="47"/>
    </row>
    <row r="31" spans="1:15">
      <c r="A31" s="143"/>
      <c r="B31" s="144"/>
      <c r="C31" s="208" t="s">
        <v>240</v>
      </c>
      <c r="D31" s="145"/>
      <c r="E31" s="207">
        <v>6</v>
      </c>
      <c r="F31" s="150"/>
      <c r="H31" s="123">
        <v>3</v>
      </c>
      <c r="I31" s="125">
        <f>COUNTIF(E$2:E$60,H31)</f>
        <v>10</v>
      </c>
      <c r="M31" s="47"/>
    </row>
    <row r="32" spans="1:15">
      <c r="A32" s="143"/>
      <c r="B32" s="144"/>
      <c r="C32" s="208" t="s">
        <v>261</v>
      </c>
      <c r="D32" s="145"/>
      <c r="E32" s="207">
        <v>10</v>
      </c>
      <c r="F32" s="150">
        <v>1</v>
      </c>
      <c r="H32" s="123">
        <v>6</v>
      </c>
      <c r="I32" s="125">
        <f>COUNTIF(E$2:E$60,H32)</f>
        <v>9</v>
      </c>
      <c r="M32" s="47"/>
    </row>
    <row r="33" spans="1:13">
      <c r="A33" s="147"/>
      <c r="B33" s="148"/>
      <c r="C33" s="208" t="s">
        <v>247</v>
      </c>
      <c r="D33" s="145"/>
      <c r="E33" s="207">
        <v>1</v>
      </c>
      <c r="F33" s="150">
        <v>2</v>
      </c>
      <c r="H33" s="124">
        <v>10</v>
      </c>
      <c r="I33" s="126">
        <f>COUNTIF(E$2:E$60,H33)</f>
        <v>9</v>
      </c>
      <c r="M33" s="47"/>
    </row>
    <row r="34" spans="1:13">
      <c r="A34" s="47">
        <v>9</v>
      </c>
      <c r="B34" s="48"/>
      <c r="C34" s="86" t="s">
        <v>239</v>
      </c>
      <c r="D34" s="45"/>
      <c r="E34" s="87">
        <v>10</v>
      </c>
      <c r="F34" s="227">
        <v>4</v>
      </c>
      <c r="M34" s="47"/>
    </row>
    <row r="35" spans="1:13">
      <c r="B35" s="48"/>
      <c r="C35" s="19" t="s">
        <v>234</v>
      </c>
      <c r="D35" s="45"/>
      <c r="E35" s="87">
        <v>6</v>
      </c>
      <c r="F35" s="87">
        <v>3</v>
      </c>
      <c r="J35" s="47"/>
      <c r="M35" s="47"/>
    </row>
    <row r="36" spans="1:13">
      <c r="B36" s="48"/>
      <c r="C36" s="19" t="s">
        <v>236</v>
      </c>
      <c r="D36" s="45"/>
      <c r="E36" s="87">
        <v>1</v>
      </c>
      <c r="F36" s="87">
        <v>2</v>
      </c>
      <c r="J36" s="47"/>
      <c r="M36" s="47"/>
    </row>
    <row r="37" spans="1:13">
      <c r="A37" s="64"/>
      <c r="B37" s="65"/>
      <c r="C37" s="19" t="s">
        <v>242</v>
      </c>
      <c r="D37" s="45"/>
      <c r="E37" s="87">
        <v>3</v>
      </c>
      <c r="F37" s="87">
        <v>7</v>
      </c>
      <c r="J37" s="15"/>
      <c r="M37" s="15"/>
    </row>
    <row r="38" spans="1:13">
      <c r="A38" s="143">
        <v>10</v>
      </c>
      <c r="B38" s="144"/>
      <c r="C38" s="146" t="s">
        <v>273</v>
      </c>
      <c r="D38" s="145"/>
      <c r="E38" s="195"/>
      <c r="F38" s="150"/>
      <c r="J38" s="15"/>
      <c r="M38" s="15"/>
    </row>
    <row r="39" spans="1:13">
      <c r="A39" s="143"/>
      <c r="B39" s="144"/>
      <c r="C39" s="146" t="s">
        <v>273</v>
      </c>
      <c r="D39" s="145"/>
      <c r="E39" s="195"/>
      <c r="F39" s="150"/>
      <c r="J39" s="15"/>
      <c r="M39" s="15"/>
    </row>
    <row r="40" spans="1:13">
      <c r="A40" s="143"/>
      <c r="B40" s="144"/>
      <c r="C40" s="146" t="s">
        <v>273</v>
      </c>
      <c r="D40" s="145"/>
      <c r="E40" s="195"/>
      <c r="F40" s="150"/>
      <c r="J40" s="15"/>
      <c r="M40" s="15"/>
    </row>
    <row r="41" spans="1:13">
      <c r="A41" s="147"/>
      <c r="B41" s="148"/>
      <c r="C41" s="146" t="s">
        <v>273</v>
      </c>
      <c r="D41" s="145"/>
      <c r="E41" s="195"/>
      <c r="F41" s="150"/>
      <c r="J41" s="15"/>
      <c r="M41" s="15"/>
    </row>
    <row r="42" spans="1:13">
      <c r="A42" s="47">
        <v>11</v>
      </c>
      <c r="B42" s="48"/>
      <c r="C42" s="86" t="s">
        <v>273</v>
      </c>
      <c r="D42" s="45"/>
      <c r="E42" s="16"/>
      <c r="F42" s="87"/>
      <c r="J42" s="15"/>
      <c r="M42" s="15"/>
    </row>
    <row r="43" spans="1:13">
      <c r="B43" s="48"/>
      <c r="C43" s="19" t="s">
        <v>273</v>
      </c>
      <c r="D43" s="45"/>
      <c r="E43" s="16"/>
      <c r="F43" s="87"/>
    </row>
    <row r="44" spans="1:13">
      <c r="B44" s="48"/>
      <c r="C44" s="19" t="s">
        <v>273</v>
      </c>
      <c r="D44" s="45"/>
      <c r="E44" s="16"/>
      <c r="F44" s="87"/>
    </row>
    <row r="45" spans="1:13">
      <c r="A45" s="64"/>
      <c r="B45" s="65"/>
      <c r="C45" s="19" t="s">
        <v>273</v>
      </c>
      <c r="D45" s="45"/>
      <c r="E45" s="16"/>
      <c r="F45" s="87"/>
    </row>
    <row r="46" spans="1:13">
      <c r="A46" s="143">
        <v>12</v>
      </c>
      <c r="B46" s="48"/>
      <c r="C46" s="146" t="s">
        <v>273</v>
      </c>
      <c r="D46" s="145"/>
      <c r="E46" s="195"/>
      <c r="F46" s="150"/>
    </row>
    <row r="47" spans="1:13">
      <c r="A47" s="143"/>
      <c r="B47" s="48"/>
      <c r="C47" s="146" t="s">
        <v>273</v>
      </c>
      <c r="D47" s="145"/>
      <c r="E47" s="195"/>
      <c r="F47" s="150"/>
    </row>
    <row r="48" spans="1:13">
      <c r="A48" s="143"/>
      <c r="B48" s="48"/>
      <c r="C48" s="146" t="s">
        <v>273</v>
      </c>
      <c r="D48" s="145"/>
      <c r="E48" s="195"/>
      <c r="F48" s="150"/>
    </row>
    <row r="49" spans="1:16">
      <c r="A49" s="147"/>
      <c r="B49" s="65"/>
      <c r="C49" s="146" t="s">
        <v>273</v>
      </c>
      <c r="D49" s="145"/>
      <c r="E49" s="195"/>
      <c r="F49" s="150"/>
      <c r="I49" s="63"/>
    </row>
    <row r="50" spans="1:16">
      <c r="A50" s="47">
        <v>13</v>
      </c>
      <c r="B50" s="48"/>
      <c r="C50" s="86" t="s">
        <v>273</v>
      </c>
      <c r="D50" s="45"/>
      <c r="E50" s="16"/>
      <c r="F50" s="87"/>
    </row>
    <row r="51" spans="1:16">
      <c r="B51" s="48"/>
      <c r="C51" s="19" t="s">
        <v>273</v>
      </c>
      <c r="D51" s="45"/>
      <c r="E51" s="16"/>
      <c r="F51" s="87"/>
      <c r="P51" s="7"/>
    </row>
    <row r="52" spans="1:16">
      <c r="B52" s="48"/>
      <c r="C52" s="19" t="s">
        <v>273</v>
      </c>
      <c r="D52" s="45"/>
      <c r="E52" s="16"/>
      <c r="F52" s="87"/>
    </row>
    <row r="53" spans="1:16">
      <c r="A53" s="64"/>
      <c r="B53" s="65"/>
      <c r="C53" s="19" t="s">
        <v>273</v>
      </c>
      <c r="D53" s="45"/>
      <c r="E53" s="16"/>
      <c r="F53" s="87"/>
    </row>
    <row r="54" spans="1:16">
      <c r="A54" s="143">
        <v>14</v>
      </c>
      <c r="B54" s="48"/>
      <c r="C54" s="146" t="s">
        <v>273</v>
      </c>
      <c r="D54" s="145"/>
      <c r="E54" s="195"/>
      <c r="F54" s="150"/>
    </row>
    <row r="55" spans="1:16">
      <c r="A55" s="143"/>
      <c r="B55" s="48"/>
      <c r="C55" s="146" t="s">
        <v>273</v>
      </c>
      <c r="D55" s="145"/>
      <c r="E55" s="195"/>
      <c r="F55" s="150"/>
    </row>
    <row r="56" spans="1:16">
      <c r="A56" s="143"/>
      <c r="B56" s="48"/>
      <c r="C56" s="146" t="s">
        <v>273</v>
      </c>
      <c r="D56" s="145"/>
      <c r="E56" s="195"/>
      <c r="F56" s="150"/>
    </row>
    <row r="57" spans="1:16">
      <c r="A57" s="147"/>
      <c r="B57" s="65"/>
      <c r="C57" s="146" t="s">
        <v>273</v>
      </c>
      <c r="D57" s="145"/>
      <c r="E57" s="195"/>
      <c r="F57" s="150"/>
    </row>
    <row r="58" spans="1:16">
      <c r="D58" s="45"/>
    </row>
    <row r="59" spans="1:16">
      <c r="D59" s="45"/>
    </row>
    <row r="60" spans="1:16">
      <c r="D60" s="45"/>
    </row>
  </sheetData>
  <protectedRanges>
    <protectedRange algorithmName="SHA-512" hashValue="2BCugcBkZYR9CingMkmnLvlTxBKFwRX6VJbWu+4yaeRnX5loeOQgwnvLsB+7fDMCy01zZ2dbEroiVijs/wPzHg==" saltValue="d/oPcA4I7nIYw3bIDufWnQ==" spinCount="100000" sqref="C2:C45" name="Cellen beveiligen"/>
  </protectedRanges>
  <sortState xmlns:xlrd2="http://schemas.microsoft.com/office/spreadsheetml/2017/richdata2" ref="G1:N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5738FA-4340-4B86-A055-8085B957A30E}">
          <x14:formula1>
            <xm:f>AanwezigReserve!$D:$D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S60"/>
  <sheetViews>
    <sheetView tabSelected="1" topLeftCell="A6" workbookViewId="0">
      <selection activeCell="K19" sqref="K19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7.28515625" style="15" customWidth="1"/>
    <col min="10" max="10" width="4" style="45" customWidth="1"/>
    <col min="11" max="11" width="8.42578125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384" width="9.140625" style="15"/>
  </cols>
  <sheetData>
    <row r="1" spans="1:13" ht="15.75" thickBot="1">
      <c r="A1" s="46"/>
      <c r="B1" s="43"/>
      <c r="C1" s="66"/>
      <c r="D1" s="68"/>
      <c r="E1" s="210" t="s">
        <v>60</v>
      </c>
      <c r="F1" s="211" t="s">
        <v>53</v>
      </c>
    </row>
    <row r="2" spans="1:13" ht="12.75" customHeight="1">
      <c r="A2" s="47">
        <v>1</v>
      </c>
      <c r="B2" s="48"/>
      <c r="C2" s="86" t="s">
        <v>270</v>
      </c>
      <c r="D2" s="45"/>
      <c r="E2" s="16">
        <v>6</v>
      </c>
      <c r="F2" s="16">
        <v>3</v>
      </c>
    </row>
    <row r="3" spans="1:13" ht="12.75" customHeight="1">
      <c r="B3" s="48"/>
      <c r="C3" s="19" t="s">
        <v>261</v>
      </c>
      <c r="D3" s="45"/>
      <c r="E3" s="16">
        <v>3</v>
      </c>
      <c r="F3" s="16">
        <v>5</v>
      </c>
    </row>
    <row r="4" spans="1:13" ht="12.75" customHeight="1">
      <c r="B4" s="48"/>
      <c r="C4" s="19" t="s">
        <v>231</v>
      </c>
      <c r="D4" s="45"/>
      <c r="E4" s="16">
        <v>10</v>
      </c>
      <c r="F4" s="16">
        <v>1</v>
      </c>
      <c r="H4" s="63"/>
      <c r="J4" s="44"/>
      <c r="K4" s="7"/>
      <c r="M4" s="44"/>
    </row>
    <row r="5" spans="1:13" ht="12.75" customHeight="1">
      <c r="A5" s="64"/>
      <c r="B5" s="65"/>
      <c r="C5" s="19" t="s">
        <v>236</v>
      </c>
      <c r="D5" s="45"/>
      <c r="E5" s="16">
        <v>1</v>
      </c>
      <c r="F5" s="16">
        <v>11</v>
      </c>
    </row>
    <row r="6" spans="1:13">
      <c r="A6" s="143">
        <v>2</v>
      </c>
      <c r="B6" s="144"/>
      <c r="C6" s="146" t="s">
        <v>268</v>
      </c>
      <c r="D6" s="145"/>
      <c r="E6" s="207">
        <v>6</v>
      </c>
      <c r="F6" s="149">
        <v>1</v>
      </c>
      <c r="K6" s="7"/>
    </row>
    <row r="7" spans="1:13" ht="12.75" customHeight="1">
      <c r="A7" s="143"/>
      <c r="B7" s="144"/>
      <c r="C7" s="146" t="s">
        <v>235</v>
      </c>
      <c r="D7" s="145"/>
      <c r="E7" s="207">
        <v>3</v>
      </c>
      <c r="F7" s="150">
        <v>1</v>
      </c>
    </row>
    <row r="8" spans="1:13" ht="12.75" customHeight="1">
      <c r="A8" s="143"/>
      <c r="B8" s="144"/>
      <c r="C8" s="146" t="s">
        <v>248</v>
      </c>
      <c r="D8" s="145"/>
      <c r="E8" s="207">
        <v>1</v>
      </c>
      <c r="F8" s="150">
        <v>1</v>
      </c>
    </row>
    <row r="9" spans="1:13" ht="12.75" customHeight="1">
      <c r="A9" s="147"/>
      <c r="B9" s="148"/>
      <c r="C9" s="146" t="s">
        <v>238</v>
      </c>
      <c r="D9" s="145"/>
      <c r="E9" s="207">
        <v>10</v>
      </c>
      <c r="F9" s="150">
        <v>1</v>
      </c>
    </row>
    <row r="10" spans="1:13" ht="12.75" customHeight="1">
      <c r="A10" s="47">
        <v>3</v>
      </c>
      <c r="B10" s="48"/>
      <c r="C10" s="19" t="s">
        <v>256</v>
      </c>
      <c r="D10" s="45"/>
      <c r="E10" s="16">
        <v>10</v>
      </c>
      <c r="F10" s="19"/>
    </row>
    <row r="11" spans="1:13">
      <c r="B11" s="48"/>
      <c r="C11" s="19" t="s">
        <v>230</v>
      </c>
      <c r="D11" s="45"/>
      <c r="E11" s="16">
        <v>6</v>
      </c>
      <c r="F11" s="19"/>
      <c r="H11" s="63"/>
    </row>
    <row r="12" spans="1:13">
      <c r="B12" s="48"/>
      <c r="C12" s="19" t="s">
        <v>135</v>
      </c>
      <c r="D12" s="45"/>
      <c r="E12" s="16">
        <v>1</v>
      </c>
      <c r="F12" s="19"/>
    </row>
    <row r="13" spans="1:13">
      <c r="A13" s="64"/>
      <c r="B13" s="65"/>
      <c r="C13" s="19" t="s">
        <v>234</v>
      </c>
      <c r="D13" s="45"/>
      <c r="E13" s="16">
        <v>3</v>
      </c>
      <c r="F13" s="19"/>
    </row>
    <row r="14" spans="1:13">
      <c r="A14" s="143">
        <v>4</v>
      </c>
      <c r="B14" s="144">
        <v>4</v>
      </c>
      <c r="C14" s="146" t="s">
        <v>232</v>
      </c>
      <c r="D14" s="145"/>
      <c r="E14" s="207">
        <v>10</v>
      </c>
      <c r="F14" s="149">
        <v>3</v>
      </c>
    </row>
    <row r="15" spans="1:13">
      <c r="A15" s="143"/>
      <c r="B15" s="144"/>
      <c r="C15" s="146" t="s">
        <v>269</v>
      </c>
      <c r="D15" s="145"/>
      <c r="E15" s="207">
        <v>3</v>
      </c>
      <c r="F15" s="150"/>
      <c r="H15" s="63"/>
    </row>
    <row r="16" spans="1:13">
      <c r="A16" s="143"/>
      <c r="B16" s="144"/>
      <c r="C16" s="146" t="s">
        <v>119</v>
      </c>
      <c r="D16" s="145"/>
      <c r="E16" s="207">
        <v>1</v>
      </c>
      <c r="F16" s="150">
        <v>1</v>
      </c>
      <c r="J16" s="47"/>
      <c r="M16" s="47"/>
    </row>
    <row r="17" spans="1:19">
      <c r="A17" s="147"/>
      <c r="B17" s="148"/>
      <c r="C17" s="146"/>
      <c r="D17" s="145"/>
      <c r="E17" s="207">
        <v>6</v>
      </c>
      <c r="F17" s="150"/>
      <c r="M17" s="47"/>
      <c r="S17" s="45"/>
    </row>
    <row r="18" spans="1:19">
      <c r="A18" s="47">
        <v>5</v>
      </c>
      <c r="B18" s="48"/>
      <c r="C18" s="19" t="s">
        <v>233</v>
      </c>
      <c r="D18" s="45"/>
      <c r="E18" s="16">
        <v>1</v>
      </c>
      <c r="F18" s="19"/>
      <c r="M18" s="47"/>
    </row>
    <row r="19" spans="1:19">
      <c r="B19" s="48"/>
      <c r="C19" s="19" t="s">
        <v>246</v>
      </c>
      <c r="D19" s="45"/>
      <c r="E19" s="16">
        <v>10</v>
      </c>
      <c r="F19" s="19"/>
      <c r="M19" s="47"/>
    </row>
    <row r="20" spans="1:19">
      <c r="B20" s="48"/>
      <c r="C20" s="19" t="s">
        <v>239</v>
      </c>
      <c r="D20" s="45"/>
      <c r="E20" s="16">
        <v>6</v>
      </c>
      <c r="F20" s="19">
        <v>1</v>
      </c>
      <c r="M20" s="47"/>
    </row>
    <row r="21" spans="1:19">
      <c r="A21" s="64"/>
      <c r="B21" s="65"/>
      <c r="C21" s="19" t="s">
        <v>292</v>
      </c>
      <c r="D21" s="45"/>
      <c r="E21" s="16">
        <v>3</v>
      </c>
      <c r="F21" s="19">
        <v>3</v>
      </c>
      <c r="M21" s="47"/>
    </row>
    <row r="22" spans="1:19">
      <c r="A22" s="143">
        <v>6</v>
      </c>
      <c r="B22" s="144"/>
      <c r="C22" s="146" t="s">
        <v>241</v>
      </c>
      <c r="D22" s="145"/>
      <c r="E22" s="207">
        <v>1</v>
      </c>
      <c r="F22" s="207">
        <v>2</v>
      </c>
      <c r="M22" s="47"/>
    </row>
    <row r="23" spans="1:19">
      <c r="A23" s="143"/>
      <c r="B23" s="144"/>
      <c r="C23" s="146" t="s">
        <v>291</v>
      </c>
      <c r="D23" s="145"/>
      <c r="E23" s="207">
        <v>6</v>
      </c>
      <c r="F23" s="146">
        <v>7</v>
      </c>
      <c r="J23" s="47"/>
      <c r="M23" s="47"/>
    </row>
    <row r="24" spans="1:19">
      <c r="A24" s="143"/>
      <c r="B24" s="144"/>
      <c r="C24" s="146" t="s">
        <v>263</v>
      </c>
      <c r="D24" s="145"/>
      <c r="E24" s="207">
        <v>10</v>
      </c>
      <c r="F24" s="146">
        <v>3</v>
      </c>
      <c r="H24" s="63"/>
      <c r="J24" s="47"/>
      <c r="M24" s="47"/>
    </row>
    <row r="25" spans="1:19">
      <c r="A25" s="147"/>
      <c r="B25" s="148"/>
      <c r="C25" s="146" t="s">
        <v>228</v>
      </c>
      <c r="D25" s="145"/>
      <c r="E25" s="207">
        <v>3</v>
      </c>
      <c r="F25" s="146"/>
      <c r="H25" s="63"/>
      <c r="J25" s="67"/>
      <c r="M25" s="67"/>
    </row>
    <row r="26" spans="1:19">
      <c r="A26" s="47">
        <v>7</v>
      </c>
      <c r="B26" s="48"/>
      <c r="C26" s="19" t="s">
        <v>293</v>
      </c>
      <c r="D26" s="45"/>
      <c r="E26" s="20">
        <v>6</v>
      </c>
      <c r="F26" s="19">
        <v>1</v>
      </c>
      <c r="J26" s="47"/>
      <c r="M26" s="47"/>
    </row>
    <row r="27" spans="1:19">
      <c r="B27" s="48"/>
      <c r="C27" s="19" t="s">
        <v>237</v>
      </c>
      <c r="D27" s="45"/>
      <c r="E27" s="226">
        <v>3</v>
      </c>
      <c r="F27" s="19">
        <v>1</v>
      </c>
      <c r="H27" s="63"/>
      <c r="J27" s="47"/>
      <c r="M27" s="47"/>
    </row>
    <row r="28" spans="1:19">
      <c r="B28" s="48"/>
      <c r="C28" s="19" t="s">
        <v>244</v>
      </c>
      <c r="D28" s="45"/>
      <c r="E28" s="226">
        <v>1</v>
      </c>
      <c r="F28" s="19">
        <v>2</v>
      </c>
      <c r="J28" s="47"/>
      <c r="M28" s="47"/>
    </row>
    <row r="29" spans="1:19" ht="13.5" thickBot="1">
      <c r="A29" s="64"/>
      <c r="B29" s="65"/>
      <c r="C29" s="19" t="s">
        <v>260</v>
      </c>
      <c r="D29" s="45"/>
      <c r="E29" s="226">
        <v>10</v>
      </c>
      <c r="F29" s="19"/>
      <c r="H29" s="128" t="s">
        <v>130</v>
      </c>
      <c r="I29" s="129"/>
      <c r="K29" s="130" t="s">
        <v>120</v>
      </c>
      <c r="M29" s="47"/>
      <c r="N29" s="7"/>
    </row>
    <row r="30" spans="1:19" ht="13.5" thickTop="1">
      <c r="A30" s="143">
        <v>8</v>
      </c>
      <c r="B30" s="144"/>
      <c r="C30" s="146" t="s">
        <v>252</v>
      </c>
      <c r="D30" s="145"/>
      <c r="E30" s="207">
        <v>3</v>
      </c>
      <c r="F30" s="149"/>
      <c r="H30" s="127">
        <v>1</v>
      </c>
      <c r="I30" s="125">
        <f>COUNTIF(E$2:E$60,H30)</f>
        <v>9</v>
      </c>
      <c r="K30" s="19">
        <f>SUM(F2:F55)</f>
        <v>48</v>
      </c>
      <c r="M30" s="47"/>
    </row>
    <row r="31" spans="1:19">
      <c r="A31" s="143"/>
      <c r="B31" s="144"/>
      <c r="C31" s="208" t="s">
        <v>294</v>
      </c>
      <c r="D31" s="145"/>
      <c r="E31" s="207">
        <v>6</v>
      </c>
      <c r="F31" s="150"/>
      <c r="H31" s="123">
        <v>3</v>
      </c>
      <c r="I31" s="125">
        <f>COUNTIF(E$2:E$60,H31)</f>
        <v>9</v>
      </c>
      <c r="M31" s="47"/>
    </row>
    <row r="32" spans="1:19">
      <c r="A32" s="143"/>
      <c r="B32" s="144"/>
      <c r="C32" s="208" t="s">
        <v>242</v>
      </c>
      <c r="D32" s="145"/>
      <c r="E32" s="207">
        <v>1</v>
      </c>
      <c r="F32" s="150"/>
      <c r="H32" s="123">
        <v>6</v>
      </c>
      <c r="I32" s="125">
        <f>COUNTIF(E$2:E$60,H32)</f>
        <v>9</v>
      </c>
      <c r="M32" s="47"/>
    </row>
    <row r="33" spans="1:13">
      <c r="A33" s="147"/>
      <c r="B33" s="148"/>
      <c r="C33" s="208" t="s">
        <v>247</v>
      </c>
      <c r="D33" s="145"/>
      <c r="E33" s="207">
        <v>10</v>
      </c>
      <c r="F33" s="150"/>
      <c r="H33" s="124">
        <v>10</v>
      </c>
      <c r="I33" s="126">
        <f>COUNTIF(E$2:E$60,H33)</f>
        <v>9</v>
      </c>
      <c r="M33" s="47"/>
    </row>
    <row r="34" spans="1:13">
      <c r="A34" s="47">
        <v>9</v>
      </c>
      <c r="B34" s="48"/>
      <c r="C34" s="86" t="s">
        <v>229</v>
      </c>
      <c r="D34" s="45"/>
      <c r="E34" s="16">
        <v>6</v>
      </c>
      <c r="F34" s="87"/>
      <c r="M34" s="47"/>
    </row>
    <row r="35" spans="1:13">
      <c r="B35" s="48"/>
      <c r="C35" s="19" t="s">
        <v>254</v>
      </c>
      <c r="D35" s="45"/>
      <c r="E35" s="16">
        <v>10</v>
      </c>
      <c r="F35" s="87"/>
      <c r="J35" s="47"/>
      <c r="M35" s="47"/>
    </row>
    <row r="36" spans="1:13">
      <c r="B36" s="48"/>
      <c r="C36" s="19" t="s">
        <v>249</v>
      </c>
      <c r="D36" s="45"/>
      <c r="E36" s="16">
        <v>3</v>
      </c>
      <c r="F36" s="87"/>
      <c r="J36" s="47"/>
      <c r="M36" s="47"/>
    </row>
    <row r="37" spans="1:13">
      <c r="A37" s="64"/>
      <c r="B37" s="65"/>
      <c r="C37" s="19" t="s">
        <v>240</v>
      </c>
      <c r="D37" s="45"/>
      <c r="E37" s="16">
        <v>1</v>
      </c>
      <c r="F37" s="87"/>
      <c r="J37" s="15"/>
      <c r="M37" s="15"/>
    </row>
    <row r="38" spans="1:13">
      <c r="A38" s="143">
        <v>10</v>
      </c>
      <c r="B38" s="144"/>
      <c r="C38" s="146" t="s">
        <v>273</v>
      </c>
      <c r="D38" s="145" t="e">
        <f>LEFT(#REF!,FIND(" ",#REF!)-1)</f>
        <v>#REF!</v>
      </c>
      <c r="E38" s="146"/>
      <c r="F38" s="150"/>
      <c r="J38" s="15"/>
      <c r="M38" s="15"/>
    </row>
    <row r="39" spans="1:13">
      <c r="A39" s="143"/>
      <c r="B39" s="144"/>
      <c r="C39" s="146" t="s">
        <v>273</v>
      </c>
      <c r="D39" s="145" t="e">
        <f>LEFT(#REF!,FIND(" ",#REF!)-1)</f>
        <v>#REF!</v>
      </c>
      <c r="E39" s="146"/>
      <c r="F39" s="150"/>
      <c r="J39" s="15"/>
      <c r="M39" s="15"/>
    </row>
    <row r="40" spans="1:13">
      <c r="A40" s="143"/>
      <c r="B40" s="144"/>
      <c r="C40" s="146" t="s">
        <v>273</v>
      </c>
      <c r="D40" s="145" t="e">
        <f>LEFT(#REF!,FIND(" ",#REF!)-1)</f>
        <v>#REF!</v>
      </c>
      <c r="E40" s="146"/>
      <c r="F40" s="150"/>
      <c r="J40" s="15"/>
      <c r="M40" s="15"/>
    </row>
    <row r="41" spans="1:13">
      <c r="A41" s="147"/>
      <c r="B41" s="148"/>
      <c r="C41" s="146" t="s">
        <v>273</v>
      </c>
      <c r="D41" s="145" t="e">
        <f>LEFT(#REF!,FIND(" ",#REF!)-1)</f>
        <v>#REF!</v>
      </c>
      <c r="E41" s="146"/>
      <c r="F41" s="150"/>
      <c r="J41" s="15"/>
      <c r="M41" s="15"/>
    </row>
    <row r="42" spans="1:13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M42" s="15"/>
    </row>
    <row r="43" spans="1:13">
      <c r="B43" s="48"/>
      <c r="C43" s="19" t="s">
        <v>273</v>
      </c>
      <c r="D43" s="45" t="e">
        <f t="shared" si="0"/>
        <v>#VALUE!</v>
      </c>
      <c r="E43" s="16"/>
      <c r="F43" s="87"/>
    </row>
    <row r="44" spans="1:13">
      <c r="B44" s="48"/>
      <c r="C44" s="19" t="s">
        <v>273</v>
      </c>
      <c r="D44" s="45" t="e">
        <f t="shared" si="0"/>
        <v>#VALUE!</v>
      </c>
      <c r="E44" s="16"/>
      <c r="F44" s="87"/>
    </row>
    <row r="45" spans="1:13">
      <c r="A45" s="64"/>
      <c r="B45" s="65"/>
      <c r="C45" s="19" t="s">
        <v>273</v>
      </c>
      <c r="D45" s="45" t="e">
        <f t="shared" si="0"/>
        <v>#VALUE!</v>
      </c>
      <c r="E45" s="16"/>
      <c r="F45" s="87"/>
    </row>
    <row r="46" spans="1:13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3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3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B50" s="48"/>
      <c r="C50" s="86" t="s">
        <v>273</v>
      </c>
      <c r="D50" s="45" t="e">
        <f>SUM(D38:D49)</f>
        <v>#REF!</v>
      </c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L1:L55">
    <sortCondition ref="L1:L55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5C23ED-7E47-48D9-B652-E4E653558AC7}">
          <x14:formula1>
            <xm:f>AanwezigReserve!$D:$D</xm:f>
          </x14:formula1>
          <xm:sqref>C2:C41 C54:C57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O60"/>
  <sheetViews>
    <sheetView topLeftCell="A27" workbookViewId="0">
      <selection activeCell="C29" sqref="C29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58.42578125" style="45" customWidth="1"/>
    <col min="13" max="13" width="6" style="45" customWidth="1"/>
    <col min="14" max="15" width="22.7109375" style="15" customWidth="1"/>
    <col min="16" max="16384" width="9.140625" style="15"/>
  </cols>
  <sheetData>
    <row r="1" spans="1:15" ht="15.75" thickBot="1">
      <c r="A1" s="46"/>
      <c r="B1" s="43"/>
      <c r="C1" s="66"/>
      <c r="D1" s="68"/>
      <c r="E1" s="210" t="s">
        <v>52</v>
      </c>
      <c r="F1" s="211">
        <v>3</v>
      </c>
      <c r="O1" s="7"/>
    </row>
    <row r="2" spans="1:15" ht="12.75" customHeight="1">
      <c r="A2" s="47">
        <v>1</v>
      </c>
      <c r="B2" s="48"/>
      <c r="C2" s="19" t="s">
        <v>236</v>
      </c>
      <c r="D2" s="45" t="e">
        <f>LEFT(#REF!,FIND(" ",#REF!)-1)</f>
        <v>#REF!</v>
      </c>
      <c r="E2" s="20">
        <v>10</v>
      </c>
      <c r="F2" s="19">
        <v>1</v>
      </c>
      <c r="L2" s="15"/>
      <c r="O2" s="7"/>
    </row>
    <row r="3" spans="1:15" ht="12.75" customHeight="1">
      <c r="B3" s="48"/>
      <c r="C3" s="19" t="s">
        <v>294</v>
      </c>
      <c r="D3" s="45" t="e">
        <f>LEFT(#REF!,FIND(" ",#REF!)-1)</f>
        <v>#REF!</v>
      </c>
      <c r="E3" s="20">
        <v>3</v>
      </c>
      <c r="F3" s="19">
        <v>3</v>
      </c>
      <c r="L3" s="15"/>
      <c r="O3" s="7"/>
    </row>
    <row r="4" spans="1:15" ht="12.75" customHeight="1">
      <c r="B4" s="48"/>
      <c r="C4" s="19" t="s">
        <v>238</v>
      </c>
      <c r="D4" s="45" t="e">
        <f>LEFT(#REF!,FIND(" ",#REF!)-1)</f>
        <v>#REF!</v>
      </c>
      <c r="E4" s="20">
        <v>1</v>
      </c>
      <c r="F4" s="19"/>
      <c r="H4" s="63"/>
      <c r="J4" s="44"/>
      <c r="K4" s="7"/>
      <c r="L4" s="183"/>
      <c r="M4" s="44"/>
      <c r="O4" s="7"/>
    </row>
    <row r="5" spans="1:15" ht="12.75" customHeight="1">
      <c r="A5" s="64"/>
      <c r="B5" s="65"/>
      <c r="C5" s="19" t="s">
        <v>252</v>
      </c>
      <c r="D5" s="45" t="e">
        <f>LEFT(#REF!,FIND(" ",#REF!)-1)</f>
        <v>#REF!</v>
      </c>
      <c r="E5" s="20">
        <v>6</v>
      </c>
      <c r="F5" s="19"/>
      <c r="L5" s="15"/>
      <c r="O5" s="7"/>
    </row>
    <row r="6" spans="1:15">
      <c r="A6" s="143">
        <v>2</v>
      </c>
      <c r="B6" s="144"/>
      <c r="C6" s="146" t="s">
        <v>237</v>
      </c>
      <c r="D6" s="145" t="e">
        <f>LEFT(#REF!,FIND(" ",#REF!)-1)</f>
        <v>#REF!</v>
      </c>
      <c r="E6" s="207">
        <v>10</v>
      </c>
      <c r="F6" s="146">
        <v>1</v>
      </c>
      <c r="K6" s="7"/>
      <c r="L6" s="15"/>
      <c r="O6" s="7"/>
    </row>
    <row r="7" spans="1:15" ht="12.75" customHeight="1">
      <c r="A7" s="143"/>
      <c r="B7" s="144"/>
      <c r="C7" s="146" t="s">
        <v>269</v>
      </c>
      <c r="D7" s="145" t="e">
        <f>LEFT(#REF!,FIND(" ",#REF!)-1)</f>
        <v>#REF!</v>
      </c>
      <c r="E7" s="207">
        <v>6</v>
      </c>
      <c r="F7" s="146"/>
      <c r="L7" s="15"/>
      <c r="O7" s="7"/>
    </row>
    <row r="8" spans="1:15" ht="12.75" customHeight="1">
      <c r="A8" s="143"/>
      <c r="B8" s="144"/>
      <c r="C8" s="146" t="s">
        <v>248</v>
      </c>
      <c r="D8" s="145" t="e">
        <f>LEFT(#REF!,FIND(" ",#REF!)-1)</f>
        <v>#REF!</v>
      </c>
      <c r="E8" s="207">
        <v>1</v>
      </c>
      <c r="F8" s="146">
        <v>3</v>
      </c>
      <c r="L8" s="15"/>
      <c r="O8" s="7"/>
    </row>
    <row r="9" spans="1:15" ht="12.75" customHeight="1">
      <c r="A9" s="147"/>
      <c r="B9" s="148"/>
      <c r="C9" s="146" t="s">
        <v>235</v>
      </c>
      <c r="D9" s="145" t="e">
        <f>LEFT(#REF!,FIND(" ",#REF!)-1)</f>
        <v>#REF!</v>
      </c>
      <c r="E9" s="207">
        <v>3</v>
      </c>
      <c r="F9" s="146"/>
      <c r="L9" s="15"/>
      <c r="O9" s="63"/>
    </row>
    <row r="10" spans="1:15" ht="12.75" customHeight="1">
      <c r="A10" s="47">
        <v>3</v>
      </c>
      <c r="B10" s="48"/>
      <c r="C10" s="19" t="s">
        <v>256</v>
      </c>
      <c r="D10" s="45" t="e">
        <f>LEFT(#REF!,FIND(" ",#REF!)-1)</f>
        <v>#REF!</v>
      </c>
      <c r="E10" s="225">
        <v>6</v>
      </c>
      <c r="F10" s="227">
        <v>2</v>
      </c>
      <c r="L10" s="15"/>
      <c r="N10" s="7"/>
    </row>
    <row r="11" spans="1:15">
      <c r="B11" s="48"/>
      <c r="C11" s="19" t="s">
        <v>135</v>
      </c>
      <c r="D11" s="45" t="e">
        <f>LEFT(#REF!,FIND(" ",#REF!)-1)</f>
        <v>#REF!</v>
      </c>
      <c r="E11" s="226">
        <v>1</v>
      </c>
      <c r="F11" s="87">
        <v>1</v>
      </c>
      <c r="I11" s="7"/>
      <c r="L11" s="15"/>
    </row>
    <row r="12" spans="1:15">
      <c r="B12" s="48"/>
      <c r="C12" s="86" t="s">
        <v>293</v>
      </c>
      <c r="D12" s="45" t="e">
        <f>LEFT(#REF!,FIND(" ",#REF!)-1)</f>
        <v>#REF!</v>
      </c>
      <c r="E12" s="140">
        <v>3</v>
      </c>
      <c r="F12" s="87">
        <v>1</v>
      </c>
      <c r="L12" s="15"/>
    </row>
    <row r="13" spans="1:15">
      <c r="A13" s="64"/>
      <c r="B13" s="65"/>
      <c r="C13" s="19" t="s">
        <v>249</v>
      </c>
      <c r="D13" s="45" t="e">
        <f>LEFT(#REF!,FIND(" ",#REF!)-1)</f>
        <v>#REF!</v>
      </c>
      <c r="E13" s="226">
        <v>10</v>
      </c>
      <c r="F13" s="87"/>
      <c r="L13" s="15"/>
    </row>
    <row r="14" spans="1:15">
      <c r="A14" s="143">
        <v>4</v>
      </c>
      <c r="B14" s="144"/>
      <c r="C14" s="146" t="s">
        <v>260</v>
      </c>
      <c r="D14" s="145" t="e">
        <f>LEFT(#REF!,FIND(" ",#REF!)-1)</f>
        <v>#REF!</v>
      </c>
      <c r="E14" s="207">
        <v>3</v>
      </c>
      <c r="F14" s="146">
        <v>3</v>
      </c>
      <c r="L14" s="15"/>
    </row>
    <row r="15" spans="1:15">
      <c r="A15" s="143"/>
      <c r="B15" s="144"/>
      <c r="C15" s="146" t="s">
        <v>119</v>
      </c>
      <c r="D15" s="145" t="e">
        <f>LEFT(#REF!,FIND(" ",#REF!)-1)</f>
        <v>#REF!</v>
      </c>
      <c r="E15" s="207">
        <v>1</v>
      </c>
      <c r="F15" s="146"/>
      <c r="L15" s="15"/>
    </row>
    <row r="16" spans="1:15">
      <c r="A16" s="143"/>
      <c r="B16" s="144"/>
      <c r="C16" s="146" t="s">
        <v>261</v>
      </c>
      <c r="D16" s="145" t="e">
        <f>LEFT(#REF!,FIND(" ",#REF!)-1)</f>
        <v>#REF!</v>
      </c>
      <c r="E16" s="207">
        <v>10</v>
      </c>
      <c r="F16" s="146">
        <v>3</v>
      </c>
      <c r="J16" s="47"/>
      <c r="L16" s="15"/>
      <c r="M16" s="47"/>
    </row>
    <row r="17" spans="1:13">
      <c r="A17" s="147"/>
      <c r="B17" s="148"/>
      <c r="C17" s="146" t="s">
        <v>231</v>
      </c>
      <c r="D17" s="145" t="str">
        <f>LEFT(C23,FIND(" ",C23)-1)</f>
        <v>Jacqueline</v>
      </c>
      <c r="E17" s="207">
        <v>6</v>
      </c>
      <c r="F17" s="146">
        <v>2</v>
      </c>
      <c r="L17" s="15"/>
      <c r="M17" s="47"/>
    </row>
    <row r="18" spans="1:13">
      <c r="A18" s="47">
        <v>5</v>
      </c>
      <c r="B18" s="48"/>
      <c r="C18" s="19" t="s">
        <v>241</v>
      </c>
      <c r="D18" s="45" t="e">
        <f>LEFT(#REF!,FIND(" ",#REF!)-1)</f>
        <v>#REF!</v>
      </c>
      <c r="E18" s="16">
        <v>3</v>
      </c>
      <c r="F18" s="19"/>
      <c r="L18" s="15"/>
      <c r="M18" s="47"/>
    </row>
    <row r="19" spans="1:13">
      <c r="B19" s="48"/>
      <c r="C19" s="19" t="s">
        <v>268</v>
      </c>
      <c r="D19" s="45" t="e">
        <f>LEFT(#REF!,FIND(" ",#REF!)-1)</f>
        <v>#REF!</v>
      </c>
      <c r="E19" s="16">
        <v>6</v>
      </c>
      <c r="F19" s="19"/>
      <c r="L19" s="15">
        <v>1</v>
      </c>
      <c r="M19" s="47"/>
    </row>
    <row r="20" spans="1:13">
      <c r="B20" s="48"/>
      <c r="C20" s="19" t="s">
        <v>232</v>
      </c>
      <c r="D20" s="45" t="e">
        <f>LEFT(#REF!,FIND(" ",#REF!)-1)</f>
        <v>#REF!</v>
      </c>
      <c r="E20" s="16">
        <v>10</v>
      </c>
      <c r="F20" s="19">
        <v>1</v>
      </c>
      <c r="L20" s="15"/>
      <c r="M20" s="47"/>
    </row>
    <row r="21" spans="1:13">
      <c r="A21" s="64"/>
      <c r="B21" s="65"/>
      <c r="C21" s="19" t="s">
        <v>230</v>
      </c>
      <c r="D21" s="45" t="e">
        <f>LEFT(#REF!,FIND(" ",#REF!)-1)</f>
        <v>#REF!</v>
      </c>
      <c r="E21" s="16">
        <v>1</v>
      </c>
      <c r="F21" s="19">
        <v>3</v>
      </c>
      <c r="L21" s="15"/>
      <c r="M21" s="47"/>
    </row>
    <row r="22" spans="1:13">
      <c r="A22" s="143">
        <v>6</v>
      </c>
      <c r="B22" s="144"/>
      <c r="C22" s="146" t="s">
        <v>244</v>
      </c>
      <c r="D22" s="145" t="e">
        <f>LEFT(#REF!,FIND(" ",#REF!)-1)</f>
        <v>#REF!</v>
      </c>
      <c r="E22" s="146">
        <v>1</v>
      </c>
      <c r="F22" s="146">
        <v>2</v>
      </c>
      <c r="L22" s="15"/>
      <c r="M22" s="47"/>
    </row>
    <row r="23" spans="1:13">
      <c r="A23" s="143"/>
      <c r="B23" s="144"/>
      <c r="C23" s="146" t="s">
        <v>263</v>
      </c>
      <c r="D23" s="145" t="e">
        <f>LEFT(#REF!,FIND(" ",#REF!)-1)</f>
        <v>#REF!</v>
      </c>
      <c r="E23" s="146">
        <v>10</v>
      </c>
      <c r="F23" s="146">
        <v>1</v>
      </c>
      <c r="J23" s="47"/>
      <c r="L23" s="15"/>
      <c r="M23" s="47"/>
    </row>
    <row r="24" spans="1:13">
      <c r="A24" s="143"/>
      <c r="B24" s="144"/>
      <c r="C24" s="146" t="s">
        <v>246</v>
      </c>
      <c r="D24" s="145" t="e">
        <f>LEFT(#REF!,FIND(" ",#REF!)-1)</f>
        <v>#REF!</v>
      </c>
      <c r="E24" s="146">
        <v>3</v>
      </c>
      <c r="F24" s="146">
        <v>1</v>
      </c>
      <c r="H24" s="63"/>
      <c r="J24" s="47"/>
      <c r="L24" s="15"/>
      <c r="M24" s="47"/>
    </row>
    <row r="25" spans="1:13">
      <c r="A25" s="147"/>
      <c r="B25" s="148"/>
      <c r="C25" s="250" t="s">
        <v>239</v>
      </c>
      <c r="D25" s="145" t="e">
        <f>LEFT(#REF!,FIND(" ",#REF!)-1)</f>
        <v>#REF!</v>
      </c>
      <c r="E25" s="146">
        <v>6</v>
      </c>
      <c r="F25" s="250"/>
      <c r="H25" s="63"/>
      <c r="J25" s="67"/>
      <c r="L25" s="7"/>
      <c r="M25" s="67"/>
    </row>
    <row r="26" spans="1:13">
      <c r="A26" s="47">
        <v>7</v>
      </c>
      <c r="B26" s="48"/>
      <c r="C26" s="19" t="s">
        <v>254</v>
      </c>
      <c r="D26" s="249" t="e">
        <f>LEFT(#REF!,FIND(" ",#REF!)-1)</f>
        <v>#REF!</v>
      </c>
      <c r="E26" s="19">
        <v>6</v>
      </c>
      <c r="F26" s="19">
        <v>2</v>
      </c>
      <c r="J26" s="47"/>
      <c r="L26" s="15"/>
      <c r="M26" s="47"/>
    </row>
    <row r="27" spans="1:13">
      <c r="B27" s="48"/>
      <c r="C27" s="19" t="s">
        <v>291</v>
      </c>
      <c r="D27" s="249" t="e">
        <f>LEFT(#REF!,FIND(" ",#REF!)-1)</f>
        <v>#REF!</v>
      </c>
      <c r="E27" s="19">
        <v>10</v>
      </c>
      <c r="F27" s="19">
        <v>1</v>
      </c>
      <c r="J27" s="47"/>
      <c r="L27" s="15"/>
      <c r="M27" s="47"/>
    </row>
    <row r="28" spans="1:13">
      <c r="B28" s="48"/>
      <c r="C28" s="19" t="s">
        <v>228</v>
      </c>
      <c r="D28" s="249" t="e">
        <f>LEFT(#REF!,FIND(" ",#REF!)-1)</f>
        <v>#REF!</v>
      </c>
      <c r="E28" s="19">
        <v>1</v>
      </c>
      <c r="F28" s="19">
        <v>3</v>
      </c>
      <c r="J28" s="47"/>
      <c r="L28" s="15"/>
      <c r="M28" s="47"/>
    </row>
    <row r="29" spans="1:13" ht="13.5" thickBot="1">
      <c r="A29" s="64"/>
      <c r="B29" s="65"/>
      <c r="C29" s="19"/>
      <c r="D29" s="249" t="e">
        <f>LEFT(#REF!,FIND(" ",#REF!)-1)</f>
        <v>#REF!</v>
      </c>
      <c r="E29" s="19">
        <v>3</v>
      </c>
      <c r="F29" s="19">
        <v>2</v>
      </c>
      <c r="H29" s="128" t="s">
        <v>130</v>
      </c>
      <c r="I29" s="129"/>
      <c r="K29" s="130" t="s">
        <v>120</v>
      </c>
      <c r="L29" s="15"/>
      <c r="M29" s="47"/>
    </row>
    <row r="30" spans="1:13" ht="13.5" thickTop="1">
      <c r="A30" s="143">
        <v>8</v>
      </c>
      <c r="B30" s="144"/>
      <c r="C30" s="248" t="s">
        <v>240</v>
      </c>
      <c r="D30" s="145" t="e">
        <f>LEFT(#REF!,FIND(" ",#REF!)-1)</f>
        <v>#REF!</v>
      </c>
      <c r="E30" s="146">
        <v>3</v>
      </c>
      <c r="F30" s="248"/>
      <c r="H30" s="127">
        <v>1</v>
      </c>
      <c r="I30" s="125">
        <f>COUNTIF(E$2:E$60,H30)</f>
        <v>9</v>
      </c>
      <c r="K30" s="19">
        <f>SUM(F2:F55)</f>
        <v>40</v>
      </c>
      <c r="L30" s="15"/>
      <c r="M30" s="47"/>
    </row>
    <row r="31" spans="1:13">
      <c r="A31" s="143"/>
      <c r="B31" s="144"/>
      <c r="C31" s="208" t="s">
        <v>242</v>
      </c>
      <c r="D31" s="145" t="e">
        <f>LEFT(#REF!,FIND(" ",#REF!)-1)</f>
        <v>#REF!</v>
      </c>
      <c r="E31" s="146">
        <v>1</v>
      </c>
      <c r="F31" s="146">
        <v>4</v>
      </c>
      <c r="H31" s="123">
        <v>3</v>
      </c>
      <c r="I31" s="125">
        <f>COUNTIF(E$2:E$60,H31)</f>
        <v>9</v>
      </c>
      <c r="L31" s="15"/>
      <c r="M31" s="47"/>
    </row>
    <row r="32" spans="1:13">
      <c r="A32" s="143"/>
      <c r="B32" s="144"/>
      <c r="C32" s="208" t="s">
        <v>229</v>
      </c>
      <c r="D32" s="145" t="e">
        <f>LEFT(#REF!,FIND(" ",#REF!)-1)</f>
        <v>#REF!</v>
      </c>
      <c r="E32" s="146">
        <v>10</v>
      </c>
      <c r="F32" s="146"/>
      <c r="H32" s="123">
        <v>6</v>
      </c>
      <c r="I32" s="125">
        <f>COUNTIF(E$2:E$60,H32)</f>
        <v>9</v>
      </c>
      <c r="L32" s="15"/>
      <c r="M32" s="47"/>
    </row>
    <row r="33" spans="1:15">
      <c r="A33" s="147"/>
      <c r="B33" s="148"/>
      <c r="C33" s="208" t="s">
        <v>292</v>
      </c>
      <c r="D33" s="145" t="e">
        <f>LEFT(#REF!,FIND(" ",#REF!)-1)</f>
        <v>#REF!</v>
      </c>
      <c r="E33" s="146">
        <v>6</v>
      </c>
      <c r="F33" s="146"/>
      <c r="H33" s="124">
        <v>10</v>
      </c>
      <c r="I33" s="126">
        <f>COUNTIF(E$2:E$60,H33)</f>
        <v>9</v>
      </c>
      <c r="L33" s="15"/>
      <c r="M33" s="47"/>
    </row>
    <row r="34" spans="1:15">
      <c r="A34" s="47">
        <v>9</v>
      </c>
      <c r="B34" s="48"/>
      <c r="C34" s="86" t="s">
        <v>234</v>
      </c>
      <c r="D34" s="45" t="e">
        <f>LEFT(#REF!,FIND(" ",#REF!)-1)</f>
        <v>#REF!</v>
      </c>
      <c r="E34" s="16">
        <v>10</v>
      </c>
      <c r="F34" s="87"/>
      <c r="L34" s="15"/>
      <c r="M34" s="47"/>
    </row>
    <row r="35" spans="1:15">
      <c r="B35" s="48"/>
      <c r="C35" s="19" t="s">
        <v>247</v>
      </c>
      <c r="D35" s="45" t="e">
        <f>LEFT(#REF!,FIND(" ",#REF!)-1)</f>
        <v>#REF!</v>
      </c>
      <c r="E35" s="16">
        <v>6</v>
      </c>
      <c r="F35" s="87"/>
      <c r="J35" s="47"/>
      <c r="L35" s="15"/>
      <c r="M35" s="47"/>
      <c r="O35" s="7"/>
    </row>
    <row r="36" spans="1:15">
      <c r="B36" s="48"/>
      <c r="C36" s="19" t="s">
        <v>233</v>
      </c>
      <c r="D36" s="45" t="e">
        <f>LEFT(#REF!,FIND(" ",#REF!)-1)</f>
        <v>#REF!</v>
      </c>
      <c r="E36" s="16">
        <v>3</v>
      </c>
      <c r="F36" s="87"/>
      <c r="J36" s="47"/>
      <c r="L36" s="15"/>
      <c r="M36" s="47"/>
      <c r="O36" s="7"/>
    </row>
    <row r="37" spans="1:15">
      <c r="A37" s="64"/>
      <c r="B37" s="65"/>
      <c r="C37" s="19" t="s">
        <v>270</v>
      </c>
      <c r="D37" s="45" t="e">
        <f>LEFT(#REF!,FIND(" ",#REF!)-1)</f>
        <v>#REF!</v>
      </c>
      <c r="E37" s="16">
        <v>1</v>
      </c>
      <c r="F37" s="87"/>
      <c r="J37" s="15"/>
      <c r="L37" s="15"/>
      <c r="M37" s="15"/>
    </row>
    <row r="38" spans="1:15">
      <c r="A38" s="143">
        <v>10</v>
      </c>
      <c r="B38" s="144"/>
      <c r="C38" s="146" t="s">
        <v>273</v>
      </c>
      <c r="D38" s="145" t="e">
        <f>LEFT(#REF!,FIND(" ",#REF!)-1)</f>
        <v>#REF!</v>
      </c>
      <c r="E38" s="146"/>
      <c r="F38" s="146"/>
      <c r="J38" s="15"/>
      <c r="L38" s="15"/>
      <c r="M38" s="15"/>
    </row>
    <row r="39" spans="1:15">
      <c r="A39" s="143"/>
      <c r="B39" s="144"/>
      <c r="C39" s="146" t="s">
        <v>273</v>
      </c>
      <c r="D39" s="145" t="e">
        <f>LEFT(#REF!,FIND(" ",#REF!)-1)</f>
        <v>#REF!</v>
      </c>
      <c r="E39" s="146"/>
      <c r="F39" s="146"/>
      <c r="J39" s="15"/>
      <c r="L39" s="15"/>
      <c r="M39" s="15"/>
    </row>
    <row r="40" spans="1:15">
      <c r="A40" s="143"/>
      <c r="B40" s="144"/>
      <c r="C40" s="146" t="s">
        <v>273</v>
      </c>
      <c r="D40" s="145" t="e">
        <f>LEFT(#REF!,FIND(" ",#REF!)-1)</f>
        <v>#REF!</v>
      </c>
      <c r="E40" s="146"/>
      <c r="F40" s="146"/>
      <c r="J40" s="15"/>
      <c r="L40" s="15"/>
      <c r="M40" s="15"/>
    </row>
    <row r="41" spans="1:15">
      <c r="A41" s="147"/>
      <c r="B41" s="148"/>
      <c r="C41" s="146" t="s">
        <v>273</v>
      </c>
      <c r="D41" s="145" t="e">
        <f>LEFT(#REF!,FIND(" ",#REF!)-1)</f>
        <v>#REF!</v>
      </c>
      <c r="E41" s="146"/>
      <c r="F41" s="146"/>
      <c r="J41" s="15"/>
      <c r="L41" s="15"/>
      <c r="M41" s="15"/>
    </row>
    <row r="42" spans="1:15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L42" s="15"/>
      <c r="M42" s="15"/>
    </row>
    <row r="43" spans="1:15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5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5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5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5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5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C2">
    <sortCondition ref="C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E7C205-9DB8-4868-A0EC-0C71329BD1BF}">
          <x14:formula1>
            <xm:f>AanwezigReserve!$D:$D</xm:f>
          </x14:formula1>
          <xm:sqref>C2:C42 C54:C57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R60"/>
  <sheetViews>
    <sheetView workbookViewId="0">
      <selection activeCell="L15" sqref="L15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47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35.42578125" style="45" customWidth="1"/>
    <col min="13" max="13" width="22.7109375" style="15" customWidth="1"/>
    <col min="14" max="14" width="22.7109375" customWidth="1"/>
    <col min="15" max="16384" width="9.140625" style="15"/>
  </cols>
  <sheetData>
    <row r="1" spans="1:18" ht="15.75" thickBot="1">
      <c r="A1" s="46"/>
      <c r="B1" s="43"/>
      <c r="C1" s="246"/>
      <c r="E1" s="247" t="s">
        <v>52</v>
      </c>
      <c r="F1" s="211" t="s">
        <v>53</v>
      </c>
    </row>
    <row r="2" spans="1:18" ht="12.75" customHeight="1">
      <c r="A2" s="47">
        <v>1</v>
      </c>
      <c r="B2" s="48"/>
      <c r="C2" s="19" t="s">
        <v>273</v>
      </c>
      <c r="D2" s="249"/>
      <c r="E2" s="16"/>
      <c r="F2" s="209"/>
      <c r="L2" s="15"/>
    </row>
    <row r="3" spans="1:18" ht="12.75" customHeight="1">
      <c r="B3" s="48"/>
      <c r="C3" s="19" t="s">
        <v>273</v>
      </c>
      <c r="D3" s="249"/>
      <c r="E3" s="16"/>
      <c r="F3" s="19"/>
      <c r="L3" s="15"/>
    </row>
    <row r="4" spans="1:18" ht="12.75" customHeight="1">
      <c r="B4" s="48"/>
      <c r="C4" s="19" t="s">
        <v>273</v>
      </c>
      <c r="D4" s="249"/>
      <c r="E4" s="16"/>
      <c r="F4" s="19"/>
      <c r="H4" s="63"/>
      <c r="J4" s="44"/>
      <c r="K4" s="7"/>
      <c r="L4" s="183"/>
    </row>
    <row r="5" spans="1:18" ht="12.75" customHeight="1">
      <c r="A5" s="64"/>
      <c r="B5" s="65"/>
      <c r="C5" s="19" t="s">
        <v>273</v>
      </c>
      <c r="D5" s="249"/>
      <c r="E5" s="16"/>
      <c r="F5" s="19"/>
      <c r="L5" s="15"/>
    </row>
    <row r="6" spans="1:18">
      <c r="A6" s="143">
        <v>2</v>
      </c>
      <c r="B6" s="144"/>
      <c r="C6" s="248" t="s">
        <v>246</v>
      </c>
      <c r="D6" s="145"/>
      <c r="E6" s="207">
        <v>10</v>
      </c>
      <c r="F6" s="146"/>
      <c r="K6" s="7"/>
      <c r="L6" s="15"/>
    </row>
    <row r="7" spans="1:18" ht="12.75" customHeight="1">
      <c r="A7" s="143"/>
      <c r="B7" s="144"/>
      <c r="C7" s="208" t="s">
        <v>294</v>
      </c>
      <c r="D7" s="145"/>
      <c r="E7" s="207">
        <v>3</v>
      </c>
      <c r="F7" s="146"/>
      <c r="L7" s="15"/>
    </row>
    <row r="8" spans="1:18" ht="12.75" customHeight="1">
      <c r="A8" s="143"/>
      <c r="B8" s="144"/>
      <c r="C8" s="146" t="s">
        <v>236</v>
      </c>
      <c r="D8" s="145"/>
      <c r="E8" s="207">
        <v>1</v>
      </c>
      <c r="F8" s="146"/>
      <c r="L8" s="15"/>
    </row>
    <row r="9" spans="1:18" ht="12.75" customHeight="1">
      <c r="A9" s="147"/>
      <c r="B9" s="148"/>
      <c r="C9" s="146" t="s">
        <v>249</v>
      </c>
      <c r="D9" s="145"/>
      <c r="E9" s="207">
        <v>6</v>
      </c>
      <c r="F9" s="146"/>
      <c r="L9" s="15"/>
    </row>
    <row r="10" spans="1:18" ht="12.75" customHeight="1">
      <c r="A10" s="47">
        <v>3</v>
      </c>
      <c r="B10" s="48"/>
      <c r="C10" s="19" t="s">
        <v>135</v>
      </c>
      <c r="D10" s="45"/>
      <c r="E10" s="20">
        <v>10</v>
      </c>
      <c r="F10" s="19"/>
      <c r="L10" s="15"/>
      <c r="M10" s="7"/>
    </row>
    <row r="11" spans="1:18">
      <c r="B11" s="48"/>
      <c r="C11" s="19" t="s">
        <v>260</v>
      </c>
      <c r="D11" s="45"/>
      <c r="E11" s="20">
        <v>3</v>
      </c>
      <c r="F11" s="19"/>
      <c r="L11" s="15"/>
    </row>
    <row r="12" spans="1:18">
      <c r="B12" s="48"/>
      <c r="C12" s="19" t="s">
        <v>263</v>
      </c>
      <c r="D12" s="45"/>
      <c r="E12" s="20">
        <v>6</v>
      </c>
      <c r="F12" s="19">
        <v>3</v>
      </c>
      <c r="L12" s="15"/>
      <c r="R12" s="47"/>
    </row>
    <row r="13" spans="1:18">
      <c r="A13" s="64"/>
      <c r="B13" s="65"/>
      <c r="C13" s="19" t="s">
        <v>235</v>
      </c>
      <c r="D13" s="45"/>
      <c r="E13" s="20">
        <v>3</v>
      </c>
      <c r="F13" s="19">
        <v>3</v>
      </c>
      <c r="L13" s="15"/>
    </row>
    <row r="14" spans="1:18">
      <c r="A14" s="143">
        <v>4</v>
      </c>
      <c r="B14" s="144"/>
      <c r="C14" s="146" t="s">
        <v>240</v>
      </c>
      <c r="D14" s="145"/>
      <c r="E14" s="207">
        <v>3</v>
      </c>
      <c r="F14" s="146"/>
      <c r="L14" s="15"/>
    </row>
    <row r="15" spans="1:18">
      <c r="A15" s="143"/>
      <c r="B15" s="144"/>
      <c r="C15" s="208" t="s">
        <v>252</v>
      </c>
      <c r="D15" s="145"/>
      <c r="E15" s="207">
        <v>6</v>
      </c>
      <c r="F15" s="146">
        <v>3</v>
      </c>
      <c r="L15" s="15"/>
    </row>
    <row r="16" spans="1:18">
      <c r="A16" s="143"/>
      <c r="B16" s="144"/>
      <c r="C16" s="146" t="s">
        <v>268</v>
      </c>
      <c r="D16" s="145"/>
      <c r="E16" s="207">
        <v>1</v>
      </c>
      <c r="F16" s="146">
        <v>1</v>
      </c>
      <c r="J16" s="47"/>
      <c r="L16" s="15"/>
    </row>
    <row r="17" spans="1:16">
      <c r="A17" s="147"/>
      <c r="B17" s="148"/>
      <c r="C17" s="146" t="s">
        <v>261</v>
      </c>
      <c r="D17" s="145"/>
      <c r="E17" s="207">
        <v>10</v>
      </c>
      <c r="F17" s="146"/>
      <c r="L17" s="15"/>
    </row>
    <row r="18" spans="1:16">
      <c r="A18" s="47">
        <v>5</v>
      </c>
      <c r="B18" s="48"/>
      <c r="C18" s="19" t="s">
        <v>293</v>
      </c>
      <c r="D18" s="45"/>
      <c r="E18" s="20">
        <v>6</v>
      </c>
      <c r="F18" s="19"/>
      <c r="L18" s="15"/>
    </row>
    <row r="19" spans="1:16">
      <c r="B19" s="48"/>
      <c r="C19" s="19" t="s">
        <v>228</v>
      </c>
      <c r="D19" s="45"/>
      <c r="E19" s="20">
        <v>3</v>
      </c>
      <c r="F19" s="19"/>
      <c r="L19" s="15"/>
    </row>
    <row r="20" spans="1:16">
      <c r="B20" s="48"/>
      <c r="C20" s="19" t="s">
        <v>230</v>
      </c>
      <c r="D20" s="45"/>
      <c r="E20" s="20">
        <v>10</v>
      </c>
      <c r="F20" s="19">
        <v>2</v>
      </c>
      <c r="L20" s="15"/>
    </row>
    <row r="21" spans="1:16">
      <c r="A21" s="64"/>
      <c r="B21" s="65"/>
      <c r="C21" s="19" t="s">
        <v>241</v>
      </c>
      <c r="D21" s="45"/>
      <c r="E21" s="20">
        <v>1</v>
      </c>
      <c r="F21" s="19">
        <v>2</v>
      </c>
      <c r="L21" s="15"/>
    </row>
    <row r="22" spans="1:16">
      <c r="A22" s="143">
        <v>6</v>
      </c>
      <c r="B22" s="144"/>
      <c r="C22" s="146" t="s">
        <v>273</v>
      </c>
      <c r="D22" s="145"/>
      <c r="E22" s="207"/>
      <c r="F22" s="146"/>
      <c r="L22" s="15"/>
    </row>
    <row r="23" spans="1:16">
      <c r="A23" s="143"/>
      <c r="B23" s="144"/>
      <c r="C23" s="146" t="s">
        <v>273</v>
      </c>
      <c r="D23" s="145"/>
      <c r="E23" s="146"/>
      <c r="F23" s="146"/>
      <c r="L23" s="15"/>
      <c r="P23"/>
    </row>
    <row r="24" spans="1:16">
      <c r="A24" s="143"/>
      <c r="B24" s="144"/>
      <c r="C24" s="146" t="s">
        <v>273</v>
      </c>
      <c r="D24" s="145"/>
      <c r="E24" s="146"/>
      <c r="F24" s="146"/>
      <c r="H24" s="63"/>
      <c r="J24" s="47"/>
      <c r="P24"/>
    </row>
    <row r="25" spans="1:16">
      <c r="A25" s="147"/>
      <c r="B25" s="148"/>
      <c r="C25" s="146" t="s">
        <v>273</v>
      </c>
      <c r="D25" s="145"/>
      <c r="E25" s="146"/>
      <c r="F25" s="146"/>
      <c r="H25" s="63"/>
      <c r="J25" s="67"/>
      <c r="P25"/>
    </row>
    <row r="26" spans="1:16">
      <c r="A26" s="47">
        <v>7</v>
      </c>
      <c r="B26" s="48"/>
      <c r="C26" s="19" t="s">
        <v>273</v>
      </c>
      <c r="D26" s="45" t="e">
        <f t="shared" ref="D26:D45" si="0">LEFT(C26,FIND(" ",C26)-1)</f>
        <v>#VALUE!</v>
      </c>
      <c r="E26" s="225"/>
      <c r="F26" s="19"/>
      <c r="J26" s="47"/>
      <c r="P26"/>
    </row>
    <row r="27" spans="1:16">
      <c r="B27" s="48"/>
      <c r="C27" s="19" t="s">
        <v>273</v>
      </c>
      <c r="D27" s="45" t="str">
        <f>LEFT(C20,FIND(" ",C20)-1)</f>
        <v>Ivan</v>
      </c>
      <c r="E27" s="226"/>
      <c r="F27" s="19"/>
      <c r="J27" s="47"/>
      <c r="M27" s="131"/>
      <c r="P27"/>
    </row>
    <row r="28" spans="1:16">
      <c r="B28" s="48"/>
      <c r="C28" s="19" t="s">
        <v>273</v>
      </c>
      <c r="D28" s="45" t="e">
        <f>LEFT(C22,FIND(" ",C22)-1)</f>
        <v>#VALUE!</v>
      </c>
      <c r="E28" s="226"/>
      <c r="F28" s="19"/>
      <c r="J28" s="47"/>
      <c r="L28" s="15"/>
    </row>
    <row r="29" spans="1:16" ht="13.5" customHeight="1" thickBot="1">
      <c r="A29" s="64"/>
      <c r="B29" s="65"/>
      <c r="C29" s="19" t="s">
        <v>273</v>
      </c>
      <c r="D29" s="45" t="e">
        <f t="shared" si="0"/>
        <v>#VALUE!</v>
      </c>
      <c r="E29" s="226"/>
      <c r="F29" s="19"/>
      <c r="H29" s="128" t="s">
        <v>130</v>
      </c>
      <c r="I29" s="129"/>
      <c r="K29" s="130" t="s">
        <v>120</v>
      </c>
      <c r="L29" s="15"/>
      <c r="N29" s="93"/>
      <c r="O29" s="7"/>
    </row>
    <row r="30" spans="1:16" ht="13.5" thickTop="1">
      <c r="A30" s="143">
        <v>8</v>
      </c>
      <c r="B30" s="144"/>
      <c r="C30" s="146" t="s">
        <v>273</v>
      </c>
      <c r="D30" s="145" t="e">
        <f t="shared" si="0"/>
        <v>#VALUE!</v>
      </c>
      <c r="E30" s="207"/>
      <c r="F30" s="149"/>
      <c r="H30" s="127">
        <v>1</v>
      </c>
      <c r="I30" s="125">
        <f>COUNTIF(E$2:E$60,H30)</f>
        <v>3</v>
      </c>
      <c r="K30" s="19">
        <f>SUM(F2:F55)</f>
        <v>14</v>
      </c>
      <c r="L30" s="15"/>
    </row>
    <row r="31" spans="1:16">
      <c r="A31" s="143"/>
      <c r="B31" s="144"/>
      <c r="C31" s="208" t="s">
        <v>273</v>
      </c>
      <c r="D31" s="145" t="e">
        <f t="shared" si="0"/>
        <v>#VALUE!</v>
      </c>
      <c r="E31" s="207"/>
      <c r="F31" s="150"/>
      <c r="H31" s="123">
        <v>3</v>
      </c>
      <c r="I31" s="125">
        <f>COUNTIF(E$2:E$60,H31)</f>
        <v>5</v>
      </c>
      <c r="L31" s="15"/>
    </row>
    <row r="32" spans="1:16">
      <c r="A32" s="143"/>
      <c r="B32" s="144"/>
      <c r="C32" s="208" t="s">
        <v>273</v>
      </c>
      <c r="D32" s="145" t="e">
        <f t="shared" si="0"/>
        <v>#VALUE!</v>
      </c>
      <c r="E32" s="207"/>
      <c r="F32" s="150"/>
      <c r="H32" s="123">
        <v>6</v>
      </c>
      <c r="I32" s="125">
        <f>COUNTIF(E$2:E$60,H32)</f>
        <v>4</v>
      </c>
      <c r="L32" s="15"/>
    </row>
    <row r="33" spans="1:12">
      <c r="A33" s="147"/>
      <c r="B33" s="148"/>
      <c r="C33" s="208" t="s">
        <v>273</v>
      </c>
      <c r="D33" s="145" t="e">
        <f t="shared" si="0"/>
        <v>#VALUE!</v>
      </c>
      <c r="E33" s="207"/>
      <c r="F33" s="150"/>
      <c r="H33" s="124">
        <v>10</v>
      </c>
      <c r="I33" s="126">
        <f>COUNTIF(E$2:E$60,H33)</f>
        <v>4</v>
      </c>
      <c r="L33" s="15"/>
    </row>
    <row r="34" spans="1:12">
      <c r="A34" s="47">
        <v>9</v>
      </c>
      <c r="B34" s="48"/>
      <c r="C34" s="86" t="s">
        <v>273</v>
      </c>
      <c r="D34" s="45" t="e">
        <f t="shared" si="0"/>
        <v>#VALUE!</v>
      </c>
      <c r="E34" s="16"/>
      <c r="F34" s="87"/>
      <c r="L34" s="15"/>
    </row>
    <row r="35" spans="1:12">
      <c r="B35" s="48"/>
      <c r="C35" s="19" t="s">
        <v>273</v>
      </c>
      <c r="D35" s="45" t="e">
        <f t="shared" si="0"/>
        <v>#VALUE!</v>
      </c>
      <c r="E35" s="16"/>
      <c r="F35" s="87"/>
      <c r="J35" s="47"/>
      <c r="L35" s="15"/>
    </row>
    <row r="36" spans="1:12">
      <c r="B36" s="48"/>
      <c r="C36" s="19" t="s">
        <v>273</v>
      </c>
      <c r="D36" s="45" t="e">
        <f t="shared" si="0"/>
        <v>#VALUE!</v>
      </c>
      <c r="E36" s="16"/>
      <c r="F36" s="87"/>
      <c r="J36" s="47"/>
      <c r="L36" s="15"/>
    </row>
    <row r="37" spans="1:12">
      <c r="A37" s="64"/>
      <c r="B37" s="65"/>
      <c r="C37" s="19" t="s">
        <v>273</v>
      </c>
      <c r="D37" s="45" t="e">
        <f t="shared" si="0"/>
        <v>#VALUE!</v>
      </c>
      <c r="E37" s="16"/>
      <c r="F37" s="87"/>
      <c r="J37" s="15"/>
      <c r="L37" s="15"/>
    </row>
    <row r="38" spans="1:12">
      <c r="A38" s="143">
        <v>10</v>
      </c>
      <c r="B38" s="144"/>
      <c r="C38" s="146" t="s">
        <v>273</v>
      </c>
      <c r="D38" s="145" t="e">
        <f t="shared" si="0"/>
        <v>#VALUE!</v>
      </c>
      <c r="E38" s="195"/>
      <c r="F38" s="150"/>
      <c r="J38" s="15"/>
      <c r="L38" s="15"/>
    </row>
    <row r="39" spans="1:12">
      <c r="A39" s="143"/>
      <c r="B39" s="144"/>
      <c r="C39" s="146" t="s">
        <v>273</v>
      </c>
      <c r="D39" s="145" t="e">
        <f t="shared" si="0"/>
        <v>#VALUE!</v>
      </c>
      <c r="E39" s="195"/>
      <c r="F39" s="150"/>
      <c r="J39" s="15"/>
      <c r="L39" s="15"/>
    </row>
    <row r="40" spans="1:12">
      <c r="A40" s="143"/>
      <c r="B40" s="144"/>
      <c r="C40" s="146" t="s">
        <v>273</v>
      </c>
      <c r="D40" s="145" t="e">
        <f t="shared" si="0"/>
        <v>#VALUE!</v>
      </c>
      <c r="E40" s="195"/>
      <c r="F40" s="150"/>
      <c r="J40" s="15"/>
      <c r="L40" s="15"/>
    </row>
    <row r="41" spans="1:12">
      <c r="A41" s="147"/>
      <c r="B41" s="148"/>
      <c r="C41" s="146" t="s">
        <v>273</v>
      </c>
      <c r="D41" s="145" t="e">
        <f t="shared" si="0"/>
        <v>#VALUE!</v>
      </c>
      <c r="E41" s="195"/>
      <c r="F41" s="150"/>
      <c r="J41" s="15"/>
      <c r="L41" s="15"/>
    </row>
    <row r="42" spans="1:12">
      <c r="A42" s="47">
        <v>11</v>
      </c>
      <c r="B42" s="48"/>
      <c r="C42" s="86" t="s">
        <v>273</v>
      </c>
      <c r="D42" s="45" t="e">
        <f t="shared" si="0"/>
        <v>#VALUE!</v>
      </c>
      <c r="E42" s="16"/>
      <c r="F42" s="87"/>
      <c r="J42" s="15"/>
      <c r="L42" s="15"/>
    </row>
    <row r="43" spans="1:12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2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2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2">
      <c r="A46" s="143">
        <v>12</v>
      </c>
      <c r="B46" s="48"/>
      <c r="C46" s="146" t="s">
        <v>273</v>
      </c>
      <c r="D46" s="145"/>
      <c r="E46" s="195"/>
      <c r="F46" s="150"/>
    </row>
    <row r="47" spans="1:12">
      <c r="A47" s="143"/>
      <c r="B47" s="48"/>
      <c r="C47" s="146" t="s">
        <v>273</v>
      </c>
      <c r="D47" s="145"/>
      <c r="E47" s="195"/>
      <c r="F47" s="150"/>
    </row>
    <row r="48" spans="1:12">
      <c r="A48" s="143"/>
      <c r="B48" s="48"/>
      <c r="C48" s="146" t="s">
        <v>273</v>
      </c>
      <c r="D48" s="145"/>
      <c r="E48" s="195"/>
      <c r="F48" s="150"/>
    </row>
    <row r="49" spans="1:9">
      <c r="A49" s="147"/>
      <c r="B49" s="65"/>
      <c r="C49" s="146" t="s">
        <v>273</v>
      </c>
      <c r="D49" s="145"/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G1:M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15AA71-9E1B-4D87-B7A2-50638F920BA2}">
          <x14:formula1>
            <xm:f>AanwezigReserve!$D:$D</xm:f>
          </x14:formula1>
          <xm:sqref>C54:C57 C2:C39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2B9B4-7519-4B20-9E2C-A63E70814795}">
  <sheetPr codeName="Blad11"/>
  <dimension ref="A1:K77"/>
  <sheetViews>
    <sheetView workbookViewId="0"/>
  </sheetViews>
  <sheetFormatPr defaultRowHeight="12.75"/>
  <cols>
    <col min="1" max="1" width="24.140625" bestFit="1" customWidth="1"/>
    <col min="2" max="2" width="3" customWidth="1"/>
    <col min="3" max="3" width="2.42578125" customWidth="1"/>
    <col min="4" max="4" width="24.140625" customWidth="1"/>
    <col min="5" max="5" width="4" customWidth="1"/>
    <col min="6" max="6" width="2.140625" customWidth="1"/>
    <col min="7" max="7" width="24.140625" bestFit="1" customWidth="1"/>
    <col min="8" max="8" width="4" style="265" customWidth="1"/>
    <col min="9" max="9" width="2.7109375" customWidth="1"/>
    <col min="10" max="10" width="24.42578125" customWidth="1"/>
    <col min="11" max="11" width="5" customWidth="1"/>
  </cols>
  <sheetData>
    <row r="1" spans="1:11">
      <c r="A1" s="7" t="s">
        <v>235</v>
      </c>
      <c r="B1" s="20">
        <v>3</v>
      </c>
      <c r="C1" s="20"/>
      <c r="D1" s="86" t="s">
        <v>242</v>
      </c>
      <c r="E1" s="16">
        <v>10</v>
      </c>
      <c r="F1" s="20"/>
      <c r="G1" s="19" t="s">
        <v>238</v>
      </c>
      <c r="H1" s="20">
        <v>3</v>
      </c>
      <c r="I1" s="20"/>
      <c r="J1" s="19" t="s">
        <v>269</v>
      </c>
      <c r="K1" s="16">
        <v>10</v>
      </c>
    </row>
    <row r="2" spans="1:11">
      <c r="A2" s="7" t="s">
        <v>247</v>
      </c>
      <c r="B2" s="20">
        <v>10</v>
      </c>
      <c r="C2" s="20"/>
      <c r="D2" s="19" t="s">
        <v>238</v>
      </c>
      <c r="E2" s="16">
        <v>3</v>
      </c>
      <c r="F2" s="20"/>
      <c r="G2" s="19" t="s">
        <v>245</v>
      </c>
      <c r="H2" s="20">
        <v>6</v>
      </c>
      <c r="I2" s="20"/>
      <c r="J2" s="19" t="s">
        <v>251</v>
      </c>
      <c r="K2" s="16">
        <v>3</v>
      </c>
    </row>
    <row r="3" spans="1:11">
      <c r="A3" s="7" t="s">
        <v>238</v>
      </c>
      <c r="B3" s="20">
        <v>6</v>
      </c>
      <c r="C3" s="20"/>
      <c r="D3" s="19" t="s">
        <v>232</v>
      </c>
      <c r="E3" s="16">
        <v>1</v>
      </c>
      <c r="F3" s="20"/>
      <c r="G3" s="19" t="s">
        <v>269</v>
      </c>
      <c r="H3" s="20">
        <v>10</v>
      </c>
      <c r="I3" s="20"/>
      <c r="J3" s="19" t="s">
        <v>242</v>
      </c>
      <c r="K3" s="16">
        <v>6</v>
      </c>
    </row>
    <row r="4" spans="1:11">
      <c r="A4" s="7" t="s">
        <v>234</v>
      </c>
      <c r="B4" s="20">
        <v>1</v>
      </c>
      <c r="C4" s="20"/>
      <c r="D4" s="19" t="s">
        <v>256</v>
      </c>
      <c r="E4" s="16">
        <v>6</v>
      </c>
      <c r="F4" s="20"/>
      <c r="G4" s="19" t="s">
        <v>255</v>
      </c>
      <c r="H4" s="20">
        <v>1</v>
      </c>
      <c r="I4" s="20"/>
      <c r="J4" s="19" t="s">
        <v>270</v>
      </c>
      <c r="K4" s="16">
        <v>1</v>
      </c>
    </row>
    <row r="5" spans="1:11">
      <c r="A5" s="207" t="s">
        <v>268</v>
      </c>
      <c r="B5" s="207">
        <v>6</v>
      </c>
      <c r="C5" s="20"/>
      <c r="D5" s="146" t="s">
        <v>268</v>
      </c>
      <c r="E5" s="207">
        <v>6</v>
      </c>
      <c r="F5" s="20"/>
      <c r="G5" s="146" t="s">
        <v>253</v>
      </c>
      <c r="H5" s="207">
        <v>10</v>
      </c>
      <c r="I5" s="20"/>
      <c r="J5" s="248" t="s">
        <v>244</v>
      </c>
      <c r="K5" s="207">
        <v>6</v>
      </c>
    </row>
    <row r="6" spans="1:11">
      <c r="A6" s="207" t="s">
        <v>242</v>
      </c>
      <c r="B6" s="207">
        <v>3</v>
      </c>
      <c r="C6" s="20"/>
      <c r="D6" s="146" t="s">
        <v>261</v>
      </c>
      <c r="E6" s="207">
        <v>10</v>
      </c>
      <c r="F6" s="20"/>
      <c r="G6" s="146" t="s">
        <v>242</v>
      </c>
      <c r="H6" s="207">
        <v>1</v>
      </c>
      <c r="I6" s="20"/>
      <c r="J6" s="208" t="s">
        <v>231</v>
      </c>
      <c r="K6" s="207">
        <v>10</v>
      </c>
    </row>
    <row r="7" spans="1:11">
      <c r="A7" s="207" t="s">
        <v>269</v>
      </c>
      <c r="B7" s="207">
        <v>10</v>
      </c>
      <c r="C7" s="20"/>
      <c r="D7" s="146" t="s">
        <v>240</v>
      </c>
      <c r="E7" s="207">
        <v>1</v>
      </c>
      <c r="F7" s="20"/>
      <c r="G7" s="146" t="s">
        <v>241</v>
      </c>
      <c r="H7" s="207">
        <v>3</v>
      </c>
      <c r="I7" s="20"/>
      <c r="J7" s="146" t="s">
        <v>255</v>
      </c>
      <c r="K7" s="207">
        <v>1</v>
      </c>
    </row>
    <row r="8" spans="1:11">
      <c r="A8" s="207" t="s">
        <v>253</v>
      </c>
      <c r="B8" s="207">
        <v>1</v>
      </c>
      <c r="C8" s="20"/>
      <c r="D8" s="146" t="s">
        <v>246</v>
      </c>
      <c r="E8" s="207">
        <v>6</v>
      </c>
      <c r="F8" s="20"/>
      <c r="G8" s="146" t="s">
        <v>248</v>
      </c>
      <c r="H8" s="207">
        <v>10</v>
      </c>
      <c r="I8" s="20"/>
      <c r="J8" s="146" t="s">
        <v>237</v>
      </c>
      <c r="K8" s="207">
        <v>3</v>
      </c>
    </row>
    <row r="9" spans="1:11">
      <c r="A9" s="7" t="s">
        <v>270</v>
      </c>
      <c r="B9" s="225">
        <v>1</v>
      </c>
      <c r="C9" s="20"/>
      <c r="D9" s="19" t="s">
        <v>236</v>
      </c>
      <c r="E9" s="16">
        <v>1</v>
      </c>
      <c r="F9" s="20"/>
      <c r="G9" s="19" t="s">
        <v>236</v>
      </c>
      <c r="H9" s="225">
        <v>6</v>
      </c>
      <c r="I9" s="20"/>
      <c r="J9" s="19" t="s">
        <v>119</v>
      </c>
      <c r="K9" s="20">
        <v>6</v>
      </c>
    </row>
    <row r="10" spans="1:11">
      <c r="A10" s="7" t="s">
        <v>246</v>
      </c>
      <c r="B10" s="226">
        <v>10</v>
      </c>
      <c r="C10" s="20"/>
      <c r="D10" s="19" t="s">
        <v>250</v>
      </c>
      <c r="E10" s="16">
        <v>10</v>
      </c>
      <c r="F10" s="20"/>
      <c r="G10" s="19" t="s">
        <v>119</v>
      </c>
      <c r="H10" s="226">
        <v>1</v>
      </c>
      <c r="I10" s="20"/>
      <c r="J10" s="19" t="s">
        <v>248</v>
      </c>
      <c r="K10" s="20">
        <v>3</v>
      </c>
    </row>
    <row r="11" spans="1:11">
      <c r="A11" s="7" t="s">
        <v>256</v>
      </c>
      <c r="B11" s="140">
        <v>6</v>
      </c>
      <c r="C11" s="20"/>
      <c r="D11" s="19" t="s">
        <v>119</v>
      </c>
      <c r="E11" s="16">
        <v>6</v>
      </c>
      <c r="F11" s="20"/>
      <c r="G11" s="86" t="s">
        <v>272</v>
      </c>
      <c r="H11" s="140">
        <v>3</v>
      </c>
      <c r="I11" s="20"/>
      <c r="J11" s="19" t="s">
        <v>254</v>
      </c>
      <c r="K11" s="20">
        <v>10</v>
      </c>
    </row>
    <row r="12" spans="1:11">
      <c r="A12" s="7" t="s">
        <v>119</v>
      </c>
      <c r="B12" s="226">
        <v>6</v>
      </c>
      <c r="C12" s="20"/>
      <c r="D12" s="19" t="s">
        <v>228</v>
      </c>
      <c r="E12" s="16">
        <v>3</v>
      </c>
      <c r="F12" s="20"/>
      <c r="G12" s="19" t="s">
        <v>252</v>
      </c>
      <c r="H12" s="226">
        <v>10</v>
      </c>
      <c r="I12" s="20"/>
      <c r="J12" s="19" t="s">
        <v>268</v>
      </c>
      <c r="K12" s="20">
        <v>1</v>
      </c>
    </row>
    <row r="13" spans="1:11">
      <c r="A13" s="207" t="s">
        <v>251</v>
      </c>
      <c r="B13" s="207">
        <v>10</v>
      </c>
      <c r="C13" s="20"/>
      <c r="D13" s="146" t="s">
        <v>272</v>
      </c>
      <c r="E13" s="207">
        <v>3</v>
      </c>
      <c r="F13" s="20"/>
      <c r="G13" s="146" t="s">
        <v>239</v>
      </c>
      <c r="H13" s="207">
        <v>1</v>
      </c>
      <c r="I13" s="20"/>
      <c r="J13" s="146" t="s">
        <v>235</v>
      </c>
      <c r="K13" s="207">
        <v>3</v>
      </c>
    </row>
    <row r="14" spans="1:11">
      <c r="A14" s="207" t="s">
        <v>239</v>
      </c>
      <c r="B14" s="207">
        <v>3</v>
      </c>
      <c r="C14" s="20"/>
      <c r="D14" s="146" t="s">
        <v>254</v>
      </c>
      <c r="E14" s="207">
        <v>6</v>
      </c>
      <c r="F14" s="20"/>
      <c r="G14" s="146" t="s">
        <v>135</v>
      </c>
      <c r="H14" s="207">
        <v>6</v>
      </c>
      <c r="I14" s="20"/>
      <c r="J14" s="208" t="s">
        <v>232</v>
      </c>
      <c r="K14" s="207">
        <v>6</v>
      </c>
    </row>
    <row r="15" spans="1:11">
      <c r="A15" s="207" t="s">
        <v>230</v>
      </c>
      <c r="B15" s="207">
        <v>6</v>
      </c>
      <c r="C15" s="20"/>
      <c r="D15" s="146" t="s">
        <v>135</v>
      </c>
      <c r="E15" s="207">
        <v>1</v>
      </c>
      <c r="F15" s="20"/>
      <c r="G15" s="146" t="s">
        <v>229</v>
      </c>
      <c r="H15" s="207">
        <v>10</v>
      </c>
      <c r="I15" s="20"/>
      <c r="J15" s="146" t="s">
        <v>239</v>
      </c>
      <c r="K15" s="207">
        <v>10</v>
      </c>
    </row>
    <row r="16" spans="1:11">
      <c r="A16" s="207" t="s">
        <v>135</v>
      </c>
      <c r="B16" s="207">
        <v>1</v>
      </c>
      <c r="C16" s="20"/>
      <c r="D16" s="146" t="s">
        <v>247</v>
      </c>
      <c r="E16" s="207">
        <v>10</v>
      </c>
      <c r="F16" s="20"/>
      <c r="G16" s="146" t="s">
        <v>270</v>
      </c>
      <c r="H16" s="207">
        <v>3</v>
      </c>
      <c r="I16" s="20"/>
      <c r="J16" s="146" t="s">
        <v>238</v>
      </c>
      <c r="K16" s="207">
        <v>1</v>
      </c>
    </row>
    <row r="17" spans="1:11">
      <c r="A17" s="7" t="s">
        <v>261</v>
      </c>
      <c r="B17" s="20">
        <v>3</v>
      </c>
      <c r="C17" s="20"/>
      <c r="D17" s="19" t="s">
        <v>241</v>
      </c>
      <c r="E17" s="16">
        <v>1</v>
      </c>
      <c r="F17" s="20"/>
      <c r="G17" s="19" t="s">
        <v>256</v>
      </c>
      <c r="H17" s="16">
        <v>6</v>
      </c>
      <c r="I17" s="20"/>
      <c r="J17" s="19" t="s">
        <v>246</v>
      </c>
      <c r="K17" s="20">
        <v>6</v>
      </c>
    </row>
    <row r="18" spans="1:11">
      <c r="A18" s="7" t="s">
        <v>245</v>
      </c>
      <c r="B18" s="20">
        <v>6</v>
      </c>
      <c r="C18" s="20"/>
      <c r="D18" s="19" t="s">
        <v>248</v>
      </c>
      <c r="E18" s="16">
        <v>10</v>
      </c>
      <c r="F18" s="20"/>
      <c r="G18" s="19" t="s">
        <v>259</v>
      </c>
      <c r="H18" s="16">
        <v>1</v>
      </c>
      <c r="I18" s="20"/>
      <c r="J18" s="19" t="s">
        <v>250</v>
      </c>
      <c r="K18" s="20">
        <v>10</v>
      </c>
    </row>
    <row r="19" spans="1:11">
      <c r="A19" s="7" t="s">
        <v>271</v>
      </c>
      <c r="B19" s="20">
        <v>1</v>
      </c>
      <c r="C19" s="20"/>
      <c r="D19" s="19" t="s">
        <v>259</v>
      </c>
      <c r="E19" s="16">
        <v>6</v>
      </c>
      <c r="F19" s="20"/>
      <c r="G19" s="19" t="s">
        <v>249</v>
      </c>
      <c r="H19" s="16">
        <v>3</v>
      </c>
      <c r="I19" s="20"/>
      <c r="J19" s="19" t="s">
        <v>241</v>
      </c>
      <c r="K19" s="20">
        <v>3</v>
      </c>
    </row>
    <row r="20" spans="1:11">
      <c r="A20" s="7" t="s">
        <v>259</v>
      </c>
      <c r="B20" s="20">
        <v>10</v>
      </c>
      <c r="C20" s="20"/>
      <c r="D20" s="19" t="s">
        <v>229</v>
      </c>
      <c r="E20" s="16">
        <v>3</v>
      </c>
      <c r="F20" s="20"/>
      <c r="G20" s="19" t="s">
        <v>235</v>
      </c>
      <c r="H20" s="16">
        <v>10</v>
      </c>
      <c r="I20" s="20"/>
      <c r="J20" s="19" t="s">
        <v>263</v>
      </c>
      <c r="K20" s="20">
        <v>1</v>
      </c>
    </row>
    <row r="21" spans="1:11">
      <c r="A21" s="207" t="s">
        <v>232</v>
      </c>
      <c r="B21" s="207">
        <v>1</v>
      </c>
      <c r="C21" s="20"/>
      <c r="D21" s="146" t="s">
        <v>270</v>
      </c>
      <c r="E21" s="207">
        <v>10</v>
      </c>
      <c r="F21" s="20"/>
      <c r="G21" s="146" t="s">
        <v>271</v>
      </c>
      <c r="H21" s="146">
        <v>3</v>
      </c>
      <c r="I21" s="20"/>
      <c r="J21" s="20"/>
      <c r="K21" s="20"/>
    </row>
    <row r="22" spans="1:11">
      <c r="A22" s="207" t="s">
        <v>255</v>
      </c>
      <c r="B22" s="207">
        <v>3</v>
      </c>
      <c r="C22" s="20"/>
      <c r="D22" s="146" t="s">
        <v>269</v>
      </c>
      <c r="E22" s="207">
        <v>3</v>
      </c>
      <c r="F22" s="20"/>
      <c r="G22" s="146" t="s">
        <v>263</v>
      </c>
      <c r="H22" s="146">
        <v>6</v>
      </c>
      <c r="I22" s="20"/>
      <c r="J22" s="20"/>
      <c r="K22" s="20"/>
    </row>
    <row r="23" spans="1:11">
      <c r="A23" s="207" t="s">
        <v>252</v>
      </c>
      <c r="B23" s="207">
        <v>6</v>
      </c>
      <c r="C23" s="20"/>
      <c r="D23" s="146" t="s">
        <v>263</v>
      </c>
      <c r="E23" s="207">
        <v>1</v>
      </c>
      <c r="F23" s="20"/>
      <c r="G23" s="146" t="s">
        <v>254</v>
      </c>
      <c r="H23" s="146">
        <v>1</v>
      </c>
      <c r="I23" s="20"/>
      <c r="J23" s="20"/>
      <c r="K23" s="20"/>
    </row>
    <row r="24" spans="1:11">
      <c r="A24" s="207" t="s">
        <v>260</v>
      </c>
      <c r="B24" s="207">
        <v>10</v>
      </c>
      <c r="C24" s="20"/>
      <c r="D24" s="146" t="s">
        <v>274</v>
      </c>
      <c r="E24" s="207">
        <v>6</v>
      </c>
      <c r="F24" s="20"/>
      <c r="G24" s="250" t="s">
        <v>247</v>
      </c>
      <c r="H24" s="146">
        <v>10</v>
      </c>
      <c r="I24" s="20"/>
      <c r="J24" s="20"/>
      <c r="K24" s="20"/>
    </row>
    <row r="25" spans="1:11">
      <c r="A25" s="7" t="s">
        <v>250</v>
      </c>
      <c r="B25" s="225">
        <v>6</v>
      </c>
      <c r="C25" s="20"/>
      <c r="D25" s="19" t="s">
        <v>255</v>
      </c>
      <c r="E25" s="20">
        <v>3</v>
      </c>
      <c r="F25" s="20"/>
      <c r="G25" s="19" t="s">
        <v>233</v>
      </c>
      <c r="H25" s="19">
        <v>10</v>
      </c>
      <c r="I25" s="20"/>
      <c r="J25" s="20"/>
      <c r="K25" s="20"/>
    </row>
    <row r="26" spans="1:11">
      <c r="A26" s="7" t="s">
        <v>272</v>
      </c>
      <c r="B26" s="226">
        <v>3</v>
      </c>
      <c r="C26" s="20"/>
      <c r="D26" s="19" t="s">
        <v>252</v>
      </c>
      <c r="E26" s="226">
        <v>6</v>
      </c>
      <c r="F26" s="20"/>
      <c r="G26" s="19" t="s">
        <v>240</v>
      </c>
      <c r="H26" s="19">
        <v>1</v>
      </c>
      <c r="I26" s="20"/>
      <c r="J26" s="20"/>
      <c r="K26" s="20"/>
    </row>
    <row r="27" spans="1:11">
      <c r="A27" s="7" t="s">
        <v>233</v>
      </c>
      <c r="B27" s="226">
        <v>1</v>
      </c>
      <c r="C27" s="20"/>
      <c r="D27" s="19" t="s">
        <v>235</v>
      </c>
      <c r="E27" s="226">
        <v>10</v>
      </c>
      <c r="F27" s="20"/>
      <c r="G27" s="19" t="s">
        <v>260</v>
      </c>
      <c r="H27" s="19">
        <v>6</v>
      </c>
      <c r="I27" s="20"/>
      <c r="J27" s="20"/>
      <c r="K27" s="20"/>
    </row>
    <row r="28" spans="1:11">
      <c r="A28" s="7" t="s">
        <v>240</v>
      </c>
      <c r="B28" s="226">
        <v>10</v>
      </c>
      <c r="C28" s="20"/>
      <c r="D28" s="19" t="s">
        <v>251</v>
      </c>
      <c r="E28" s="226">
        <v>1</v>
      </c>
      <c r="F28" s="20"/>
      <c r="G28" s="19" t="s">
        <v>234</v>
      </c>
      <c r="H28" s="19">
        <v>6</v>
      </c>
      <c r="I28" s="20"/>
      <c r="J28" s="20"/>
      <c r="K28" s="20"/>
    </row>
    <row r="29" spans="1:11">
      <c r="A29" s="146" t="s">
        <v>254</v>
      </c>
      <c r="B29" s="207">
        <v>3</v>
      </c>
      <c r="C29" s="20"/>
      <c r="D29" s="146" t="s">
        <v>231</v>
      </c>
      <c r="E29" s="207">
        <v>6</v>
      </c>
      <c r="F29" s="20"/>
      <c r="G29" s="248" t="s">
        <v>230</v>
      </c>
      <c r="H29" s="146">
        <v>6</v>
      </c>
      <c r="I29" s="20"/>
      <c r="J29" s="20"/>
      <c r="K29" s="20"/>
    </row>
    <row r="30" spans="1:11">
      <c r="A30" s="208" t="s">
        <v>236</v>
      </c>
      <c r="B30" s="207">
        <v>6</v>
      </c>
      <c r="C30" s="20"/>
      <c r="D30" s="208" t="s">
        <v>234</v>
      </c>
      <c r="E30" s="207">
        <v>3</v>
      </c>
      <c r="F30" s="20"/>
      <c r="G30" s="208" t="s">
        <v>231</v>
      </c>
      <c r="H30" s="146">
        <v>6</v>
      </c>
      <c r="I30" s="20"/>
      <c r="J30" s="20"/>
      <c r="K30" s="20"/>
    </row>
    <row r="31" spans="1:11">
      <c r="A31" s="208" t="s">
        <v>241</v>
      </c>
      <c r="B31" s="207">
        <v>1</v>
      </c>
      <c r="C31" s="20"/>
      <c r="D31" s="208" t="s">
        <v>244</v>
      </c>
      <c r="E31" s="207">
        <v>10</v>
      </c>
      <c r="F31" s="20"/>
      <c r="G31" s="208" t="s">
        <v>268</v>
      </c>
      <c r="H31" s="146">
        <v>10</v>
      </c>
      <c r="I31" s="20"/>
      <c r="J31" s="20"/>
      <c r="K31" s="20"/>
    </row>
    <row r="32" spans="1:11">
      <c r="A32" s="208" t="s">
        <v>244</v>
      </c>
      <c r="B32" s="207">
        <v>10</v>
      </c>
      <c r="C32" s="20"/>
      <c r="D32" s="208" t="s">
        <v>237</v>
      </c>
      <c r="E32" s="207">
        <v>1</v>
      </c>
      <c r="F32" s="20"/>
      <c r="G32" s="208" t="s">
        <v>244</v>
      </c>
      <c r="H32" s="146">
        <v>1</v>
      </c>
      <c r="I32" s="20"/>
      <c r="J32" s="20"/>
      <c r="K32" s="20"/>
    </row>
    <row r="33" spans="1:11">
      <c r="A33" s="86" t="s">
        <v>228</v>
      </c>
      <c r="B33" s="87">
        <v>1</v>
      </c>
      <c r="C33" s="20"/>
      <c r="D33" s="86" t="s">
        <v>253</v>
      </c>
      <c r="E33" s="16">
        <v>10</v>
      </c>
      <c r="F33" s="20"/>
      <c r="G33" s="86" t="s">
        <v>274</v>
      </c>
      <c r="H33" s="16">
        <v>1</v>
      </c>
      <c r="I33" s="20"/>
      <c r="J33" s="20"/>
      <c r="K33" s="20"/>
    </row>
    <row r="34" spans="1:11">
      <c r="A34" s="19" t="s">
        <v>249</v>
      </c>
      <c r="B34" s="87">
        <v>3</v>
      </c>
      <c r="C34" s="20"/>
      <c r="D34" s="19" t="s">
        <v>271</v>
      </c>
      <c r="E34" s="16">
        <v>1</v>
      </c>
      <c r="F34" s="20"/>
      <c r="G34" s="19" t="s">
        <v>251</v>
      </c>
      <c r="H34" s="16">
        <v>10</v>
      </c>
      <c r="I34" s="20"/>
      <c r="J34" s="20"/>
      <c r="K34" s="20"/>
    </row>
    <row r="35" spans="1:11">
      <c r="A35" s="19" t="s">
        <v>229</v>
      </c>
      <c r="B35" s="87">
        <v>10</v>
      </c>
      <c r="C35" s="20"/>
      <c r="D35" s="19" t="s">
        <v>245</v>
      </c>
      <c r="E35" s="16">
        <v>6</v>
      </c>
      <c r="F35" s="20"/>
      <c r="G35" s="19" t="s">
        <v>232</v>
      </c>
      <c r="H35" s="16">
        <v>3</v>
      </c>
      <c r="I35" s="20"/>
      <c r="J35" s="20"/>
      <c r="K35" s="20"/>
    </row>
    <row r="36" spans="1:11">
      <c r="A36" s="19" t="s">
        <v>237</v>
      </c>
      <c r="B36" s="87">
        <v>6</v>
      </c>
      <c r="C36" s="20"/>
      <c r="D36" s="19" t="s">
        <v>249</v>
      </c>
      <c r="E36" s="16">
        <v>3</v>
      </c>
      <c r="F36" s="20"/>
      <c r="G36" s="19" t="s">
        <v>250</v>
      </c>
      <c r="H36" s="16">
        <v>6</v>
      </c>
      <c r="I36" s="20"/>
      <c r="J36" s="20"/>
      <c r="K36" s="20"/>
    </row>
    <row r="37" spans="1:11">
      <c r="A37" s="20"/>
      <c r="B37" s="20"/>
      <c r="C37" s="20"/>
      <c r="D37" s="146" t="s">
        <v>239</v>
      </c>
      <c r="E37" s="146">
        <v>6</v>
      </c>
      <c r="F37" s="20"/>
      <c r="G37" s="146" t="s">
        <v>261</v>
      </c>
      <c r="H37" s="146">
        <v>6</v>
      </c>
      <c r="I37" s="20"/>
      <c r="J37" s="20"/>
      <c r="K37" s="20"/>
    </row>
    <row r="38" spans="1:11">
      <c r="A38" s="20"/>
      <c r="B38" s="20"/>
      <c r="C38" s="20"/>
      <c r="D38" s="146" t="s">
        <v>260</v>
      </c>
      <c r="E38" s="146">
        <v>1</v>
      </c>
      <c r="F38" s="20"/>
      <c r="G38" s="146" t="s">
        <v>228</v>
      </c>
      <c r="H38" s="146">
        <v>1</v>
      </c>
      <c r="I38" s="20"/>
      <c r="J38" s="20"/>
      <c r="K38" s="20"/>
    </row>
    <row r="39" spans="1:11">
      <c r="A39" s="20"/>
      <c r="B39" s="20"/>
      <c r="C39" s="20"/>
      <c r="D39" s="146" t="s">
        <v>233</v>
      </c>
      <c r="E39" s="146">
        <v>10</v>
      </c>
      <c r="F39" s="20"/>
      <c r="G39" s="146" t="s">
        <v>237</v>
      </c>
      <c r="H39" s="146">
        <v>3</v>
      </c>
      <c r="I39" s="20"/>
      <c r="J39" s="20"/>
      <c r="K39" s="20"/>
    </row>
    <row r="40" spans="1:11">
      <c r="A40" s="20"/>
      <c r="B40" s="20"/>
      <c r="C40" s="20"/>
      <c r="D40" s="146" t="s">
        <v>230</v>
      </c>
      <c r="E40" s="146">
        <v>3</v>
      </c>
      <c r="F40" s="20"/>
      <c r="G40" s="146" t="s">
        <v>246</v>
      </c>
      <c r="H40" s="146">
        <v>10</v>
      </c>
      <c r="I40" s="20"/>
      <c r="J40" s="20"/>
      <c r="K40" s="20"/>
    </row>
    <row r="41" spans="1:11">
      <c r="A41" s="10"/>
      <c r="H41" s="16"/>
    </row>
    <row r="42" spans="1:11">
      <c r="A42" s="7"/>
      <c r="D42" s="7"/>
      <c r="E42" s="26"/>
      <c r="G42" s="15"/>
      <c r="J42" s="15"/>
      <c r="K42" s="26"/>
    </row>
    <row r="43" spans="1:11">
      <c r="A43" s="7"/>
      <c r="D43" s="15"/>
      <c r="E43" s="26"/>
      <c r="G43" s="15"/>
      <c r="J43" s="15"/>
      <c r="K43" s="26"/>
    </row>
    <row r="44" spans="1:11">
      <c r="A44" s="7"/>
      <c r="D44" s="15"/>
      <c r="E44" s="26"/>
      <c r="G44" s="15"/>
      <c r="J44" s="15"/>
      <c r="K44" s="26"/>
    </row>
    <row r="45" spans="1:11">
      <c r="A45" s="7"/>
      <c r="D45" s="15"/>
      <c r="E45" s="26"/>
      <c r="G45" s="15"/>
      <c r="J45" s="15"/>
      <c r="K45" s="26"/>
    </row>
    <row r="46" spans="1:11">
      <c r="A46" s="7"/>
      <c r="B46" s="26"/>
      <c r="D46" s="15"/>
      <c r="G46" s="15"/>
      <c r="J46" s="15"/>
      <c r="K46" s="47"/>
    </row>
    <row r="47" spans="1:11">
      <c r="A47" s="7"/>
      <c r="B47" s="26"/>
      <c r="D47" s="15"/>
      <c r="G47" s="15"/>
      <c r="J47" s="7"/>
      <c r="K47" s="47"/>
    </row>
    <row r="48" spans="1:11">
      <c r="A48" s="7"/>
      <c r="B48" s="26"/>
      <c r="D48" s="15"/>
      <c r="G48" s="15"/>
      <c r="J48" s="15"/>
      <c r="K48" s="47"/>
    </row>
    <row r="49" spans="1:11">
      <c r="A49" s="7"/>
      <c r="B49" s="26"/>
      <c r="D49" s="15"/>
      <c r="G49" s="15"/>
      <c r="J49" s="15"/>
      <c r="K49" s="47"/>
    </row>
    <row r="50" spans="1:11">
      <c r="A50" s="7"/>
      <c r="B50" s="47"/>
      <c r="D50" s="15"/>
      <c r="E50" s="26"/>
      <c r="G50" s="15"/>
      <c r="H50" s="266"/>
      <c r="J50" s="15"/>
      <c r="K50" s="26"/>
    </row>
    <row r="51" spans="1:11">
      <c r="A51" s="7"/>
      <c r="B51" s="47"/>
      <c r="D51" s="15"/>
      <c r="E51" s="26"/>
      <c r="G51" s="15"/>
      <c r="H51" s="266"/>
      <c r="J51" s="15"/>
      <c r="K51" s="26"/>
    </row>
    <row r="52" spans="1:11">
      <c r="A52" s="7"/>
      <c r="B52" s="67"/>
      <c r="D52" s="15"/>
      <c r="E52" s="26"/>
      <c r="G52" s="15"/>
      <c r="H52" s="266"/>
      <c r="J52" s="15"/>
      <c r="K52" s="26"/>
    </row>
    <row r="53" spans="1:11">
      <c r="A53" s="7"/>
      <c r="B53" s="47"/>
      <c r="D53" s="15"/>
      <c r="E53" s="26"/>
      <c r="G53" s="15"/>
      <c r="H53" s="266"/>
      <c r="J53" s="15"/>
      <c r="K53" s="26"/>
    </row>
    <row r="54" spans="1:11">
      <c r="A54" s="7"/>
      <c r="B54" s="26"/>
      <c r="D54" s="15"/>
      <c r="G54" s="15"/>
      <c r="J54" s="15"/>
    </row>
    <row r="55" spans="1:11">
      <c r="A55" s="7"/>
      <c r="B55" s="26"/>
      <c r="D55" s="15"/>
      <c r="G55" s="15"/>
      <c r="J55" s="7"/>
    </row>
    <row r="56" spans="1:11">
      <c r="A56" s="7"/>
      <c r="B56" s="26"/>
      <c r="D56" s="15"/>
      <c r="G56" s="15"/>
      <c r="J56" s="15"/>
    </row>
    <row r="57" spans="1:11">
      <c r="A57" s="7"/>
      <c r="B57" s="26"/>
      <c r="D57" s="15"/>
      <c r="G57" s="15"/>
      <c r="J57" s="15"/>
    </row>
    <row r="58" spans="1:11">
      <c r="A58" s="7"/>
      <c r="D58" s="15"/>
      <c r="E58" s="26"/>
      <c r="G58" s="15"/>
      <c r="J58" s="15"/>
    </row>
    <row r="59" spans="1:11">
      <c r="A59" s="7"/>
      <c r="D59" s="15"/>
      <c r="E59" s="26"/>
      <c r="G59" s="15"/>
      <c r="J59" s="15"/>
    </row>
    <row r="60" spans="1:11">
      <c r="A60" s="7"/>
      <c r="D60" s="15"/>
      <c r="E60" s="26"/>
      <c r="G60" s="15"/>
      <c r="J60" s="15"/>
    </row>
    <row r="61" spans="1:11">
      <c r="A61" s="7"/>
      <c r="D61" s="15"/>
      <c r="E61" s="26"/>
      <c r="G61" s="15"/>
      <c r="J61" s="15"/>
    </row>
    <row r="62" spans="1:11">
      <c r="A62" s="7"/>
      <c r="B62" s="26"/>
      <c r="D62" s="15"/>
      <c r="E62" s="47"/>
      <c r="G62" s="15"/>
    </row>
    <row r="63" spans="1:11">
      <c r="A63" s="7"/>
      <c r="B63" s="26"/>
      <c r="D63" s="15"/>
      <c r="E63" s="47"/>
      <c r="G63" s="15"/>
    </row>
    <row r="64" spans="1:11">
      <c r="A64" s="7"/>
      <c r="B64" s="26"/>
      <c r="D64" s="15"/>
      <c r="E64" s="47"/>
      <c r="G64" s="15"/>
    </row>
    <row r="65" spans="1:10" ht="15">
      <c r="A65" s="7"/>
      <c r="B65" s="26"/>
      <c r="D65" s="15"/>
      <c r="E65" s="47"/>
      <c r="G65" s="15"/>
      <c r="J65" s="264"/>
    </row>
    <row r="66" spans="1:10">
      <c r="A66" s="7"/>
      <c r="B66" s="47"/>
      <c r="D66" s="15"/>
      <c r="G66" s="15"/>
    </row>
    <row r="67" spans="1:10">
      <c r="A67" s="7"/>
      <c r="B67" s="47"/>
      <c r="D67" s="15"/>
      <c r="E67" s="47"/>
      <c r="G67" s="15"/>
    </row>
    <row r="68" spans="1:10">
      <c r="A68" s="7"/>
      <c r="B68" s="47"/>
      <c r="D68" s="15"/>
      <c r="E68" s="47"/>
      <c r="G68" s="15"/>
    </row>
    <row r="69" spans="1:10">
      <c r="A69" s="7"/>
      <c r="B69" s="47"/>
      <c r="D69" s="15"/>
      <c r="E69" s="47"/>
      <c r="G69" s="15"/>
    </row>
    <row r="70" spans="1:10">
      <c r="A70" s="15"/>
      <c r="B70" s="26"/>
      <c r="D70" s="15"/>
      <c r="E70" s="26"/>
      <c r="G70" s="15"/>
    </row>
    <row r="71" spans="1:10">
      <c r="A71" s="7"/>
      <c r="B71" s="26"/>
      <c r="D71" s="7"/>
      <c r="E71" s="26"/>
      <c r="G71" s="7"/>
    </row>
    <row r="72" spans="1:10">
      <c r="A72" s="7"/>
      <c r="B72" s="26"/>
      <c r="D72" s="7"/>
      <c r="E72" s="26"/>
      <c r="G72" s="7"/>
    </row>
    <row r="73" spans="1:10">
      <c r="A73" s="7"/>
      <c r="B73" s="26"/>
      <c r="D73" s="7"/>
      <c r="E73" s="26"/>
      <c r="G73" s="7"/>
      <c r="H73" s="266"/>
    </row>
    <row r="74" spans="1:10">
      <c r="A74" s="7"/>
      <c r="B74" s="15"/>
      <c r="D74" s="7"/>
      <c r="E74" s="26"/>
    </row>
    <row r="75" spans="1:10">
      <c r="A75" s="15"/>
      <c r="B75" s="15"/>
      <c r="D75" s="15"/>
      <c r="E75" s="26"/>
    </row>
    <row r="76" spans="1:10">
      <c r="A76" s="15"/>
      <c r="B76" s="15"/>
      <c r="D76" s="15"/>
      <c r="E76" s="26"/>
    </row>
    <row r="77" spans="1:10">
      <c r="A77" s="15"/>
      <c r="B77" s="15"/>
      <c r="D77" s="15"/>
      <c r="E77" s="26"/>
    </row>
  </sheetData>
  <protectedRanges>
    <protectedRange algorithmName="SHA-512" hashValue="2BCugcBkZYR9CingMkmnLvlTxBKFwRX6VJbWu+4yaeRnX5loeOQgwnvLsB+7fDMCy01zZ2dbEroiVijs/wPzHg==" saltValue="d/oPcA4I7nIYw3bIDufWnQ==" spinCount="100000" sqref="A37:A41" name="Cellen beveiligen_1"/>
    <protectedRange algorithmName="SHA-512" hashValue="2BCugcBkZYR9CingMkmnLvlTxBKFwRX6VJbWu+4yaeRnX5loeOQgwnvLsB+7fDMCy01zZ2dbEroiVijs/wPzHg==" saltValue="d/oPcA4I7nIYw3bIDufWnQ==" spinCount="100000" sqref="A1:A36" name="Cellen beveiligen_2"/>
  </protectedRange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CE74D6-CD74-4C6B-B6DD-F128B2446529}">
          <x14:formula1>
            <xm:f>AanwezigReserve!$D:$D</xm:f>
          </x14:formula1>
          <xm:sqref>A42:A77 D1:D40 J42:J61 G42:G73 D42:D77 A1:A36 G1:G40 J1:J20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5C59B-7B4D-4DF7-989C-BDDE995E2368}">
  <sheetPr codeName="Blad7"/>
  <dimension ref="A1:G58"/>
  <sheetViews>
    <sheetView workbookViewId="0"/>
  </sheetViews>
  <sheetFormatPr defaultColWidth="8.85546875" defaultRowHeight="12.75"/>
  <cols>
    <col min="1" max="1" width="28.7109375" customWidth="1"/>
  </cols>
  <sheetData>
    <row r="1" spans="1:7" ht="34.5" customHeight="1">
      <c r="A1" s="69"/>
      <c r="B1" s="88" t="s">
        <v>123</v>
      </c>
      <c r="C1" s="88" t="s">
        <v>36</v>
      </c>
      <c r="D1" s="88" t="s">
        <v>37</v>
      </c>
      <c r="E1" s="89" t="s">
        <v>35</v>
      </c>
    </row>
    <row r="2" spans="1:7">
      <c r="A2" s="70" t="str">
        <f>AanwezigReserve!D3</f>
        <v>Alfreda Fiers</v>
      </c>
      <c r="B2" t="str">
        <f>_xlfn.XLOOKUP(A2,Ronde1!C:C,Ronde1!E:E,"-")</f>
        <v>-</v>
      </c>
      <c r="C2" t="str">
        <f>_xlfn.XLOOKUP(B2,Ronde1!D:D,Ronde1!F:F,"-")</f>
        <v>-</v>
      </c>
      <c r="D2" t="str">
        <f>_xlfn.XLOOKUP(C2,Ronde1!E:E,Ronde1!G:G,"-")</f>
        <v>-</v>
      </c>
      <c r="E2" t="str">
        <f>_xlfn.XLOOKUP(D2,Ronde1!F:F,Ronde1!H:H,"-")</f>
        <v>-</v>
      </c>
      <c r="G2">
        <f>SUM(B2:E2)</f>
        <v>0</v>
      </c>
    </row>
    <row r="3" spans="1:7">
      <c r="A3" s="70" t="str">
        <f>AanwezigReserve!D4</f>
        <v>Brigitte Raeymaekers</v>
      </c>
      <c r="B3">
        <f>_xlfn.XLOOKUP(A3,Ronde1!C:C,Ronde1!E:E,"-")</f>
        <v>3</v>
      </c>
      <c r="C3">
        <f>_xlfn.XLOOKUP($A3,Ronde2!$C:$C,Ronde2!$E:$E,"-")</f>
        <v>3</v>
      </c>
      <c r="D3">
        <f>_xlfn.XLOOKUP($A3,Ronde3!$C:$C,Ronde3!$E:$E,"-")</f>
        <v>1</v>
      </c>
      <c r="E3" s="51">
        <f>_xlfn.XLOOKUP($A3,Ronde4!$C:$C,Ronde4!$E:$E,"-")</f>
        <v>3</v>
      </c>
      <c r="G3">
        <f t="shared" ref="G3:G57" si="0">SUM(B3:E3)</f>
        <v>10</v>
      </c>
    </row>
    <row r="4" spans="1:7">
      <c r="A4" s="70" t="str">
        <f>AanwezigReserve!D5</f>
        <v>Chris Cuppens</v>
      </c>
      <c r="B4">
        <f>_xlfn.XLOOKUP(A4,Ronde1!C:C,Ronde1!E:E,"-")</f>
        <v>3</v>
      </c>
      <c r="C4">
        <f>_xlfn.XLOOKUP($A4,Ronde2!$C:$C,Ronde2!$E:$E,"-")</f>
        <v>3</v>
      </c>
      <c r="D4">
        <f>_xlfn.XLOOKUP($A4,Ronde3!$C:$C,Ronde3!$E:$E,"-")</f>
        <v>3</v>
      </c>
      <c r="E4" s="51">
        <f>_xlfn.XLOOKUP($A4,Ronde4!$C:$C,Ronde4!$E:$E,"-")</f>
        <v>3</v>
      </c>
      <c r="G4">
        <f t="shared" si="0"/>
        <v>12</v>
      </c>
    </row>
    <row r="5" spans="1:7">
      <c r="A5" s="70" t="str">
        <f>AanwezigReserve!D6</f>
        <v>Christiane De Maesschalck</v>
      </c>
      <c r="B5">
        <f>_xlfn.XLOOKUP(A5,Ronde1!C:C,Ronde1!E:E,"-")</f>
        <v>1</v>
      </c>
      <c r="C5">
        <f>_xlfn.XLOOKUP($A5,Ronde2!$C:$C,Ronde2!$E:$E,"-")</f>
        <v>10</v>
      </c>
      <c r="D5">
        <f>_xlfn.XLOOKUP($A5,Ronde3!$C:$C,Ronde3!$E:$E,"-")</f>
        <v>10</v>
      </c>
      <c r="E5" s="51" t="str">
        <f>_xlfn.XLOOKUP($A5,Ronde4!$C:$C,Ronde4!$E:$E,"-")</f>
        <v>-</v>
      </c>
      <c r="G5">
        <f t="shared" si="0"/>
        <v>21</v>
      </c>
    </row>
    <row r="6" spans="1:7">
      <c r="A6" s="70" t="str">
        <f>AanwezigReserve!D7</f>
        <v>Christiane Van der Sypt</v>
      </c>
      <c r="B6">
        <f>_xlfn.XLOOKUP(A6,Ronde1!C:C,Ronde1!E:E,"-")</f>
        <v>1</v>
      </c>
      <c r="C6">
        <f>_xlfn.XLOOKUP($A6,Ronde2!$C:$C,Ronde2!$E:$E,"-")</f>
        <v>6</v>
      </c>
      <c r="D6">
        <f>_xlfn.XLOOKUP($A6,Ronde3!$C:$C,Ronde3!$E:$E,"-")</f>
        <v>1</v>
      </c>
      <c r="E6" s="51" t="str">
        <f>_xlfn.XLOOKUP($A6,Ronde4!$C:$C,Ronde4!$E:$E,"-")</f>
        <v>-</v>
      </c>
      <c r="G6">
        <f t="shared" si="0"/>
        <v>8</v>
      </c>
    </row>
    <row r="7" spans="1:7">
      <c r="A7" s="70" t="str">
        <f>AanwezigReserve!D8</f>
        <v>Daniel Bogaert</v>
      </c>
      <c r="B7">
        <f>_xlfn.XLOOKUP(A7,Ronde1!C:C,Ronde1!E:E,"-")</f>
        <v>1</v>
      </c>
      <c r="C7">
        <f>_xlfn.XLOOKUP($A7,Ronde2!$C:$C,Ronde2!$E:$E,"-")</f>
        <v>1</v>
      </c>
      <c r="D7">
        <f>_xlfn.XLOOKUP($A7,Ronde3!$C:$C,Ronde3!$E:$E,"-")</f>
        <v>10</v>
      </c>
      <c r="E7" s="51">
        <f>_xlfn.XLOOKUP($A7,Ronde4!$C:$C,Ronde4!$E:$E,"-")</f>
        <v>1</v>
      </c>
      <c r="G7">
        <f t="shared" si="0"/>
        <v>13</v>
      </c>
    </row>
    <row r="8" spans="1:7">
      <c r="A8" s="70" t="str">
        <f>AanwezigReserve!D9</f>
        <v>Daniella Vanhalewyn</v>
      </c>
      <c r="B8">
        <f>_xlfn.XLOOKUP(A8,Ronde1!C:C,Ronde1!E:E,"-")</f>
        <v>10</v>
      </c>
      <c r="C8">
        <f>_xlfn.XLOOKUP($A8,Ronde2!$C:$C,Ronde2!$E:$E,"-")</f>
        <v>3</v>
      </c>
      <c r="D8">
        <f>_xlfn.XLOOKUP($A8,Ronde3!$C:$C,Ronde3!$E:$E,"-")</f>
        <v>10</v>
      </c>
      <c r="E8" s="51">
        <f>_xlfn.XLOOKUP($A8,Ronde4!$C:$C,Ronde4!$E:$E,"-")</f>
        <v>10</v>
      </c>
      <c r="G8">
        <f t="shared" si="0"/>
        <v>33</v>
      </c>
    </row>
    <row r="9" spans="1:7">
      <c r="A9" s="70" t="str">
        <f>AanwezigReserve!D10</f>
        <v>Dirk De Brabander</v>
      </c>
      <c r="B9">
        <f>_xlfn.XLOOKUP(A9,Ronde1!C:C,Ronde1!E:E,"-")</f>
        <v>6</v>
      </c>
      <c r="C9">
        <f>_xlfn.XLOOKUP($A9,Ronde2!$C:$C,Ronde2!$E:$E,"-")</f>
        <v>3</v>
      </c>
      <c r="D9">
        <f>_xlfn.XLOOKUP($A9,Ronde3!$C:$C,Ronde3!$E:$E,"-")</f>
        <v>10</v>
      </c>
      <c r="E9" s="51" t="str">
        <f>_xlfn.XLOOKUP($A9,Ronde4!$C:$C,Ronde4!$E:$E,"-")</f>
        <v>-</v>
      </c>
      <c r="G9">
        <f t="shared" si="0"/>
        <v>19</v>
      </c>
    </row>
    <row r="10" spans="1:7">
      <c r="A10" s="70" t="str">
        <f>AanwezigReserve!D11</f>
        <v>Dirk Desante</v>
      </c>
      <c r="B10">
        <f>_xlfn.XLOOKUP(A10,Ronde1!C:C,Ronde1!E:E,"-")</f>
        <v>6</v>
      </c>
      <c r="C10">
        <f>_xlfn.XLOOKUP($A10,Ronde2!$C:$C,Ronde2!$E:$E,"-")</f>
        <v>6</v>
      </c>
      <c r="D10">
        <f>_xlfn.XLOOKUP($A10,Ronde3!$C:$C,Ronde3!$E:$E,"-")</f>
        <v>10</v>
      </c>
      <c r="E10" s="51" t="str">
        <f>_xlfn.XLOOKUP($A10,Ronde4!$C:$C,Ronde4!$E:$E,"-")</f>
        <v>-</v>
      </c>
      <c r="G10">
        <f t="shared" si="0"/>
        <v>22</v>
      </c>
    </row>
    <row r="11" spans="1:7">
      <c r="A11" s="70" t="str">
        <f>AanwezigReserve!D12</f>
        <v>Etienne Saveyn</v>
      </c>
      <c r="B11">
        <f>_xlfn.XLOOKUP(A11,Ronde1!C:C,Ronde1!E:E,"-")</f>
        <v>3</v>
      </c>
      <c r="C11">
        <f>_xlfn.XLOOKUP($A11,Ronde2!$C:$C,Ronde2!$E:$E,"-")</f>
        <v>3</v>
      </c>
      <c r="D11">
        <f>_xlfn.XLOOKUP($A11,Ronde3!$C:$C,Ronde3!$E:$E,"-")</f>
        <v>10</v>
      </c>
      <c r="E11" s="51" t="str">
        <f>_xlfn.XLOOKUP($A11,Ronde4!$C:$C,Ronde4!$E:$E,"-")</f>
        <v>-</v>
      </c>
      <c r="G11">
        <f t="shared" si="0"/>
        <v>16</v>
      </c>
    </row>
    <row r="12" spans="1:7">
      <c r="A12" s="70" t="str">
        <f>AanwezigReserve!D13</f>
        <v>Filip Dejans</v>
      </c>
      <c r="B12">
        <f>_xlfn.XLOOKUP(A12,Ronde1!C:C,Ronde1!E:E,"-")</f>
        <v>6</v>
      </c>
      <c r="C12">
        <f>_xlfn.XLOOKUP($A12,Ronde2!$C:$C,Ronde2!$E:$E,"-")</f>
        <v>10</v>
      </c>
      <c r="D12">
        <f>_xlfn.XLOOKUP($A12,Ronde3!$C:$C,Ronde3!$E:$E,"-")</f>
        <v>6</v>
      </c>
      <c r="E12" s="51" t="str">
        <f>_xlfn.XLOOKUP($A12,Ronde4!$C:$C,Ronde4!$E:$E,"-")</f>
        <v>-</v>
      </c>
      <c r="G12">
        <f t="shared" si="0"/>
        <v>22</v>
      </c>
    </row>
    <row r="13" spans="1:7">
      <c r="A13" s="70" t="str">
        <f>AanwezigReserve!D14</f>
        <v>Francine Thienpont</v>
      </c>
      <c r="B13">
        <f>_xlfn.XLOOKUP(A13,Ronde1!C:C,Ronde1!E:E,"-")</f>
        <v>3</v>
      </c>
      <c r="C13">
        <f>_xlfn.XLOOKUP($A13,Ronde2!$C:$C,Ronde2!$E:$E,"-")</f>
        <v>1</v>
      </c>
      <c r="D13">
        <f>_xlfn.XLOOKUP($A13,Ronde3!$C:$C,Ronde3!$E:$E,"-")</f>
        <v>1</v>
      </c>
      <c r="E13" s="51" t="str">
        <f>_xlfn.XLOOKUP($A13,Ronde4!$C:$C,Ronde4!$E:$E,"-")</f>
        <v>-</v>
      </c>
      <c r="G13">
        <f t="shared" si="0"/>
        <v>5</v>
      </c>
    </row>
    <row r="14" spans="1:7">
      <c r="A14" s="70" t="str">
        <f>AanwezigReserve!D15</f>
        <v>Frans Catteeuw</v>
      </c>
      <c r="B14" t="str">
        <f>_xlfn.XLOOKUP(A14,Ronde1!C:C,Ronde1!E:E,"-")</f>
        <v>-</v>
      </c>
      <c r="C14" t="str">
        <f>_xlfn.XLOOKUP($A14,Ronde2!$C:$C,Ronde2!$E:$E,"-")</f>
        <v>-</v>
      </c>
      <c r="D14" t="str">
        <f>_xlfn.XLOOKUP($A14,Ronde3!$C:$C,Ronde3!$E:$E,"-")</f>
        <v>-</v>
      </c>
      <c r="E14" s="51" t="str">
        <f>_xlfn.XLOOKUP($A14,Ronde4!$C:$C,Ronde4!$E:$E,"-")</f>
        <v>-</v>
      </c>
      <c r="G14">
        <f t="shared" si="0"/>
        <v>0</v>
      </c>
    </row>
    <row r="15" spans="1:7">
      <c r="A15" s="70" t="str">
        <f>AanwezigReserve!D16</f>
        <v>Freddy Moerman</v>
      </c>
      <c r="B15">
        <f>_xlfn.XLOOKUP(A15,Ronde1!C:C,Ronde1!E:E,"-")</f>
        <v>1</v>
      </c>
      <c r="C15">
        <f>_xlfn.XLOOKUP($A15,Ronde2!$C:$C,Ronde2!$E:$E,"-")</f>
        <v>1</v>
      </c>
      <c r="D15">
        <f>_xlfn.XLOOKUP($A15,Ronde3!$C:$C,Ronde3!$E:$E,"-")</f>
        <v>3</v>
      </c>
      <c r="E15" s="51">
        <f>_xlfn.XLOOKUP($A15,Ronde4!$C:$C,Ronde4!$E:$E,"-")</f>
        <v>1</v>
      </c>
      <c r="G15">
        <f t="shared" si="0"/>
        <v>6</v>
      </c>
    </row>
    <row r="16" spans="1:7">
      <c r="A16" s="70" t="str">
        <f>AanwezigReserve!D17</f>
        <v>Georges Tollenaere</v>
      </c>
      <c r="B16" t="str">
        <f>_xlfn.XLOOKUP(A16,Ronde1!C:C,Ronde1!E:E,"-")</f>
        <v>-</v>
      </c>
      <c r="C16" t="str">
        <f>_xlfn.XLOOKUP($A16,Ronde2!$C:$C,Ronde2!$E:$E,"-")</f>
        <v>-</v>
      </c>
      <c r="D16" t="str">
        <f>_xlfn.XLOOKUP($A16,Ronde3!$C:$C,Ronde3!$E:$E,"-")</f>
        <v>-</v>
      </c>
      <c r="E16" s="51" t="str">
        <f>_xlfn.XLOOKUP($A16,Ronde4!$C:$C,Ronde4!$E:$E,"-")</f>
        <v>-</v>
      </c>
      <c r="G16">
        <f t="shared" si="0"/>
        <v>0</v>
      </c>
    </row>
    <row r="17" spans="1:7">
      <c r="A17" s="70" t="str">
        <f>AanwezigReserve!D18</f>
        <v>Gina Van Den Bossche</v>
      </c>
      <c r="B17">
        <f>_xlfn.XLOOKUP(A17,Ronde1!C:C,Ronde1!E:E,"-")</f>
        <v>10</v>
      </c>
      <c r="C17">
        <f>_xlfn.XLOOKUP($A17,Ronde2!$C:$C,Ronde2!$E:$E,"-")</f>
        <v>1</v>
      </c>
      <c r="D17">
        <f>_xlfn.XLOOKUP($A17,Ronde3!$C:$C,Ronde3!$E:$E,"-")</f>
        <v>3</v>
      </c>
      <c r="E17" s="51" t="str">
        <f>_xlfn.XLOOKUP($A17,Ronde4!$C:$C,Ronde4!$E:$E,"-")</f>
        <v>-</v>
      </c>
      <c r="G17">
        <f t="shared" si="0"/>
        <v>14</v>
      </c>
    </row>
    <row r="18" spans="1:7">
      <c r="A18" s="70" t="str">
        <f>AanwezigReserve!D19</f>
        <v>Herman Buysse</v>
      </c>
      <c r="B18">
        <f>_xlfn.XLOOKUP(A18,Ronde1!C:C,Ronde1!E:E,"-")</f>
        <v>6</v>
      </c>
      <c r="C18">
        <f>_xlfn.XLOOKUP($A18,Ronde2!$C:$C,Ronde2!$E:$E,"-")</f>
        <v>10</v>
      </c>
      <c r="D18">
        <f>_xlfn.XLOOKUP($A18,Ronde3!$C:$C,Ronde3!$E:$E,"-")</f>
        <v>1</v>
      </c>
      <c r="E18" s="51" t="str">
        <f>_xlfn.XLOOKUP($A18,Ronde4!$C:$C,Ronde4!$E:$E,"-")</f>
        <v>-</v>
      </c>
      <c r="G18">
        <f t="shared" si="0"/>
        <v>17</v>
      </c>
    </row>
    <row r="19" spans="1:7">
      <c r="A19" s="70" t="str">
        <f>AanwezigReserve!D20</f>
        <v>Hubert Verplaetse</v>
      </c>
      <c r="B19">
        <f>_xlfn.XLOOKUP(A19,Ronde1!C:C,Ronde1!E:E,"-")</f>
        <v>1</v>
      </c>
      <c r="C19">
        <f>_xlfn.XLOOKUP($A19,Ronde2!$C:$C,Ronde2!$E:$E,"-")</f>
        <v>6</v>
      </c>
      <c r="D19">
        <f>_xlfn.XLOOKUP($A19,Ronde3!$C:$C,Ronde3!$E:$E,"-")</f>
        <v>3</v>
      </c>
      <c r="E19" s="51">
        <f>_xlfn.XLOOKUP($A19,Ronde4!$C:$C,Ronde4!$E:$E,"-")</f>
        <v>3</v>
      </c>
      <c r="G19">
        <f t="shared" si="0"/>
        <v>13</v>
      </c>
    </row>
    <row r="20" spans="1:7">
      <c r="A20" s="70" t="str">
        <f>AanwezigReserve!D21</f>
        <v>Ivan Scheir</v>
      </c>
      <c r="B20">
        <f>_xlfn.XLOOKUP(A20,Ronde1!C:C,Ronde1!E:E,"-")</f>
        <v>10</v>
      </c>
      <c r="C20">
        <f>_xlfn.XLOOKUP($A20,Ronde2!$C:$C,Ronde2!$E:$E,"-")</f>
        <v>6</v>
      </c>
      <c r="D20">
        <f>_xlfn.XLOOKUP($A20,Ronde3!$C:$C,Ronde3!$E:$E,"-")</f>
        <v>1</v>
      </c>
      <c r="E20" s="51">
        <f>_xlfn.XLOOKUP($A20,Ronde4!$C:$C,Ronde4!$E:$E,"-")</f>
        <v>10</v>
      </c>
      <c r="G20">
        <f t="shared" si="0"/>
        <v>27</v>
      </c>
    </row>
    <row r="21" spans="1:7">
      <c r="A21" s="70" t="str">
        <f>AanwezigReserve!D22</f>
        <v>Jacqueline Geubels</v>
      </c>
      <c r="B21">
        <f>_xlfn.XLOOKUP(A21,Ronde1!C:C,Ronde1!E:E,"-")</f>
        <v>3</v>
      </c>
      <c r="C21">
        <f>_xlfn.XLOOKUP($A21,Ronde2!$C:$C,Ronde2!$E:$E,"-")</f>
        <v>10</v>
      </c>
      <c r="D21">
        <f>_xlfn.XLOOKUP($A21,Ronde3!$C:$C,Ronde3!$E:$E,"-")</f>
        <v>10</v>
      </c>
      <c r="E21" s="51">
        <f>_xlfn.XLOOKUP($A21,Ronde4!$C:$C,Ronde4!$E:$E,"-")</f>
        <v>6</v>
      </c>
      <c r="G21">
        <f t="shared" si="0"/>
        <v>29</v>
      </c>
    </row>
    <row r="22" spans="1:7">
      <c r="A22" s="70" t="str">
        <f>AanwezigReserve!D23</f>
        <v>Jacques De Meester</v>
      </c>
      <c r="B22">
        <f>_xlfn.XLOOKUP(A22,Ronde1!C:C,Ronde1!E:E,"-")</f>
        <v>6</v>
      </c>
      <c r="C22">
        <f>_xlfn.XLOOKUP($A22,Ronde2!$C:$C,Ronde2!$E:$E,"-")</f>
        <v>6</v>
      </c>
      <c r="D22">
        <f>_xlfn.XLOOKUP($A22,Ronde3!$C:$C,Ronde3!$E:$E,"-")</f>
        <v>3</v>
      </c>
      <c r="E22" s="51">
        <f>_xlfn.XLOOKUP($A22,Ronde4!$C:$C,Ronde4!$E:$E,"-")</f>
        <v>6</v>
      </c>
      <c r="G22">
        <f t="shared" si="0"/>
        <v>21</v>
      </c>
    </row>
    <row r="23" spans="1:7">
      <c r="A23" s="70" t="str">
        <f>AanwezigReserve!D24</f>
        <v>JeanM. Van Veirdeghem</v>
      </c>
      <c r="B23">
        <f>_xlfn.XLOOKUP(A23,Ronde1!C:C,Ronde1!E:E,"-")</f>
        <v>10</v>
      </c>
      <c r="C23">
        <f>_xlfn.XLOOKUP($A23,Ronde2!$C:$C,Ronde2!$E:$E,"-")</f>
        <v>3</v>
      </c>
      <c r="D23">
        <f>_xlfn.XLOOKUP($A23,Ronde3!$C:$C,Ronde3!$E:$E,"-")</f>
        <v>6</v>
      </c>
      <c r="E23" s="51" t="str">
        <f>_xlfn.XLOOKUP($A23,Ronde4!$C:$C,Ronde4!$E:$E,"-")</f>
        <v>-</v>
      </c>
      <c r="G23">
        <f t="shared" si="0"/>
        <v>19</v>
      </c>
    </row>
    <row r="24" spans="1:7">
      <c r="A24" s="70" t="str">
        <f>AanwezigReserve!D25</f>
        <v>Jeroom Van Severen</v>
      </c>
      <c r="B24">
        <f>_xlfn.XLOOKUP(A24,Ronde1!C:C,Ronde1!E:E,"-")</f>
        <v>1</v>
      </c>
      <c r="C24">
        <f>_xlfn.XLOOKUP($A24,Ronde2!$C:$C,Ronde2!$E:$E,"-")</f>
        <v>6</v>
      </c>
      <c r="D24">
        <f>_xlfn.XLOOKUP($A24,Ronde3!$C:$C,Ronde3!$E:$E,"-")</f>
        <v>6</v>
      </c>
      <c r="E24" s="51">
        <f>_xlfn.XLOOKUP($A24,Ronde4!$C:$C,Ronde4!$E:$E,"-")</f>
        <v>1</v>
      </c>
      <c r="G24">
        <f t="shared" si="0"/>
        <v>14</v>
      </c>
    </row>
    <row r="25" spans="1:7">
      <c r="A25" s="70" t="str">
        <f>AanwezigReserve!D26</f>
        <v>Johan Saey</v>
      </c>
      <c r="B25" t="str">
        <f>_xlfn.XLOOKUP(A25,Ronde1!C:C,Ronde1!E:E,"-")</f>
        <v>-</v>
      </c>
      <c r="C25" t="str">
        <f>_xlfn.XLOOKUP($A25,Ronde2!$C:$C,Ronde2!$E:$E,"-")</f>
        <v>-</v>
      </c>
      <c r="D25" t="str">
        <f>_xlfn.XLOOKUP($A25,Ronde3!$C:$C,Ronde3!$E:$E,"-")</f>
        <v>-</v>
      </c>
      <c r="E25" s="51" t="str">
        <f>_xlfn.XLOOKUP($A25,Ronde4!$C:$C,Ronde4!$E:$E,"-")</f>
        <v>-</v>
      </c>
      <c r="G25">
        <f t="shared" si="0"/>
        <v>0</v>
      </c>
    </row>
    <row r="26" spans="1:7">
      <c r="A26" s="70" t="str">
        <f>AanwezigReserve!D27</f>
        <v>Jozef Van Landeghem</v>
      </c>
      <c r="B26">
        <f>_xlfn.XLOOKUP(A26,Ronde1!C:C,Ronde1!E:E,"-")</f>
        <v>6</v>
      </c>
      <c r="C26">
        <f>_xlfn.XLOOKUP($A26,Ronde2!$C:$C,Ronde2!$E:$E,"-")</f>
        <v>1</v>
      </c>
      <c r="D26">
        <f>_xlfn.XLOOKUP($A26,Ronde3!$C:$C,Ronde3!$E:$E,"-")</f>
        <v>3</v>
      </c>
      <c r="E26" s="51">
        <f>_xlfn.XLOOKUP($A26,Ronde4!$C:$C,Ronde4!$E:$E,"-")</f>
        <v>3</v>
      </c>
      <c r="G26">
        <f t="shared" si="0"/>
        <v>13</v>
      </c>
    </row>
    <row r="27" spans="1:7">
      <c r="A27" s="70" t="str">
        <f>AanwezigReserve!D28</f>
        <v>Julien Herrebaut</v>
      </c>
      <c r="B27">
        <f>_xlfn.XLOOKUP(A27,Ronde1!C:C,Ronde1!E:E,"-")</f>
        <v>10</v>
      </c>
      <c r="C27">
        <f>_xlfn.XLOOKUP($A27,Ronde2!$C:$C,Ronde2!$E:$E,"-")</f>
        <v>6</v>
      </c>
      <c r="D27">
        <f>_xlfn.XLOOKUP($A27,Ronde3!$C:$C,Ronde3!$E:$E,"-")</f>
        <v>6</v>
      </c>
      <c r="E27" s="51" t="str">
        <f>_xlfn.XLOOKUP($A27,Ronde4!$C:$C,Ronde4!$E:$E,"-")</f>
        <v>-</v>
      </c>
      <c r="G27">
        <f t="shared" si="0"/>
        <v>22</v>
      </c>
    </row>
    <row r="28" spans="1:7">
      <c r="A28" s="70" t="str">
        <f>AanwezigReserve!D29</f>
        <v>Lucien Van Peteghem</v>
      </c>
      <c r="B28">
        <f>_xlfn.XLOOKUP(A28,Ronde1!C:C,Ronde1!E:E,"-")</f>
        <v>3</v>
      </c>
      <c r="C28">
        <f>_xlfn.XLOOKUP($A28,Ronde2!$C:$C,Ronde2!$E:$E,"-")</f>
        <v>10</v>
      </c>
      <c r="D28">
        <f>_xlfn.XLOOKUP($A28,Ronde3!$C:$C,Ronde3!$E:$E,"-")</f>
        <v>3</v>
      </c>
      <c r="E28" s="51">
        <f>_xlfn.XLOOKUP($A28,Ronde4!$C:$C,Ronde4!$E:$E,"-")</f>
        <v>10</v>
      </c>
      <c r="G28">
        <f t="shared" si="0"/>
        <v>26</v>
      </c>
    </row>
    <row r="29" spans="1:7">
      <c r="A29" s="70" t="str">
        <f>AanwezigReserve!D30</f>
        <v>Lutgarde Vanderhaegen</v>
      </c>
      <c r="B29">
        <f>_xlfn.XLOOKUP(A29,Ronde1!C:C,Ronde1!E:E,"-")</f>
        <v>10</v>
      </c>
      <c r="C29">
        <f>_xlfn.XLOOKUP($A29,Ronde2!$C:$C,Ronde2!$E:$E,"-")</f>
        <v>10</v>
      </c>
      <c r="D29">
        <f>_xlfn.XLOOKUP($A29,Ronde3!$C:$C,Ronde3!$E:$E,"-")</f>
        <v>6</v>
      </c>
      <c r="E29" s="51" t="str">
        <f>_xlfn.XLOOKUP($A29,Ronde4!$C:$C,Ronde4!$E:$E,"-")</f>
        <v>-</v>
      </c>
      <c r="G29">
        <f t="shared" si="0"/>
        <v>26</v>
      </c>
    </row>
    <row r="30" spans="1:7">
      <c r="A30" s="70" t="str">
        <f>AanwezigReserve!D31</f>
        <v>Lydie Ysveld</v>
      </c>
      <c r="B30" t="str">
        <f>_xlfn.XLOOKUP(A30,Ronde1!C:C,Ronde1!E:E,"-")</f>
        <v>-</v>
      </c>
      <c r="C30" t="str">
        <f>_xlfn.XLOOKUP($A30,Ronde2!$C:$C,Ronde2!$E:$E,"-")</f>
        <v>-</v>
      </c>
      <c r="D30" t="str">
        <f>_xlfn.XLOOKUP($A30,Ronde3!$C:$C,Ronde3!$E:$E,"-")</f>
        <v>-</v>
      </c>
      <c r="E30" s="51" t="str">
        <f>_xlfn.XLOOKUP($A30,Ronde4!$C:$C,Ronde4!$E:$E,"-")</f>
        <v>-</v>
      </c>
      <c r="G30">
        <f t="shared" si="0"/>
        <v>0</v>
      </c>
    </row>
    <row r="31" spans="1:7">
      <c r="A31" s="70" t="str">
        <f>AanwezigReserve!D32</f>
        <v>Marc Ediers</v>
      </c>
      <c r="B31">
        <f>_xlfn.XLOOKUP(A31,Ronde1!C:C,Ronde1!E:E,"-")</f>
        <v>3</v>
      </c>
      <c r="C31">
        <f>_xlfn.XLOOKUP($A31,Ronde2!$C:$C,Ronde2!$E:$E,"-")</f>
        <v>3</v>
      </c>
      <c r="D31">
        <f>_xlfn.XLOOKUP($A31,Ronde3!$C:$C,Ronde3!$E:$E,"-")</f>
        <v>10</v>
      </c>
      <c r="E31" s="51">
        <f>_xlfn.XLOOKUP($A31,Ronde4!$C:$C,Ronde4!$E:$E,"-")</f>
        <v>6</v>
      </c>
      <c r="G31">
        <f t="shared" si="0"/>
        <v>22</v>
      </c>
    </row>
    <row r="32" spans="1:7">
      <c r="A32" s="70" t="str">
        <f>AanwezigReserve!D33</f>
        <v>Marguerite Van Hende</v>
      </c>
      <c r="B32">
        <f>_xlfn.XLOOKUP(A32,Ronde1!C:C,Ronde1!E:E,"-")</f>
        <v>6</v>
      </c>
      <c r="C32">
        <f>_xlfn.XLOOKUP($A32,Ronde2!$C:$C,Ronde2!$E:$E,"-")</f>
        <v>6</v>
      </c>
      <c r="D32">
        <f>_xlfn.XLOOKUP($A32,Ronde3!$C:$C,Ronde3!$E:$E,"-")</f>
        <v>10</v>
      </c>
      <c r="E32" s="51" t="str">
        <f>_xlfn.XLOOKUP($A32,Ronde4!$C:$C,Ronde4!$E:$E,"-")</f>
        <v>-</v>
      </c>
      <c r="G32">
        <f t="shared" si="0"/>
        <v>22</v>
      </c>
    </row>
    <row r="33" spans="1:7">
      <c r="A33" s="70" t="str">
        <f>AanwezigReserve!D34</f>
        <v>Marleen Denert</v>
      </c>
      <c r="B33" t="str">
        <f>_xlfn.XLOOKUP(A33,Ronde1!C:C,Ronde1!E:E,"-")</f>
        <v>-</v>
      </c>
      <c r="C33" t="str">
        <f>_xlfn.XLOOKUP($A33,Ronde2!$C:$C,Ronde2!$E:$E,"-")</f>
        <v>-</v>
      </c>
      <c r="D33" t="str">
        <f>_xlfn.XLOOKUP($A33,Ronde3!$C:$C,Ronde3!$E:$E,"-")</f>
        <v>-</v>
      </c>
      <c r="E33" s="51" t="str">
        <f>_xlfn.XLOOKUP($A33,Ronde4!$C:$C,Ronde4!$E:$E,"-")</f>
        <v>-</v>
      </c>
      <c r="G33">
        <f t="shared" si="0"/>
        <v>0</v>
      </c>
    </row>
    <row r="34" spans="1:7">
      <c r="A34" s="70" t="str">
        <f>AanwezigReserve!D35</f>
        <v>Michel Van Laere</v>
      </c>
      <c r="B34">
        <f>_xlfn.XLOOKUP(A34,Ronde1!C:C,Ronde1!E:E,"-")</f>
        <v>10</v>
      </c>
      <c r="C34">
        <f>_xlfn.XLOOKUP($A34,Ronde2!$C:$C,Ronde2!$E:$E,"-")</f>
        <v>3</v>
      </c>
      <c r="D34">
        <f>_xlfn.XLOOKUP($A34,Ronde3!$C:$C,Ronde3!$E:$E,"-")</f>
        <v>6</v>
      </c>
      <c r="E34" s="51" t="str">
        <f>_xlfn.XLOOKUP($A34,Ronde4!$C:$C,Ronde4!$E:$E,"-")</f>
        <v>-</v>
      </c>
      <c r="G34">
        <f t="shared" si="0"/>
        <v>19</v>
      </c>
    </row>
    <row r="35" spans="1:7">
      <c r="A35" s="70" t="str">
        <f>AanwezigReserve!D36</f>
        <v>Nestor Meirte</v>
      </c>
      <c r="B35">
        <f>_xlfn.XLOOKUP(A35,Ronde1!C:C,Ronde1!E:E,"-")</f>
        <v>1</v>
      </c>
      <c r="C35">
        <f>_xlfn.XLOOKUP($A35,Ronde2!$C:$C,Ronde2!$E:$E,"-")</f>
        <v>10</v>
      </c>
      <c r="D35">
        <f>_xlfn.XLOOKUP($A35,Ronde3!$C:$C,Ronde3!$E:$E,"-")</f>
        <v>6</v>
      </c>
      <c r="E35" s="51" t="str">
        <f>_xlfn.XLOOKUP($A35,Ronde4!$C:$C,Ronde4!$E:$E,"-")</f>
        <v>-</v>
      </c>
      <c r="G35">
        <f t="shared" si="0"/>
        <v>17</v>
      </c>
    </row>
    <row r="36" spans="1:7">
      <c r="A36" s="70" t="str">
        <f>AanwezigReserve!D37</f>
        <v>Patrick Geys</v>
      </c>
      <c r="B36" t="str">
        <f>_xlfn.XLOOKUP(A36,Ronde1!C:C,Ronde1!E:E,"-")</f>
        <v>-</v>
      </c>
      <c r="C36" t="str">
        <f>_xlfn.XLOOKUP($A36,Ronde2!$C:$C,Ronde2!$E:$E,"-")</f>
        <v>-</v>
      </c>
      <c r="D36" t="str">
        <f>_xlfn.XLOOKUP($A36,Ronde3!$C:$C,Ronde3!$E:$E,"-")</f>
        <v>-</v>
      </c>
      <c r="E36" s="51" t="str">
        <f>_xlfn.XLOOKUP($A36,Ronde4!$C:$C,Ronde4!$E:$E,"-")</f>
        <v>-</v>
      </c>
      <c r="G36">
        <f t="shared" si="0"/>
        <v>0</v>
      </c>
    </row>
    <row r="37" spans="1:7">
      <c r="A37" s="70" t="str">
        <f>AanwezigReserve!D38</f>
        <v>Patrick Vande Kerckhove</v>
      </c>
      <c r="B37" t="str">
        <f>_xlfn.XLOOKUP(A37,Ronde1!C:C,Ronde1!E:E,"-")</f>
        <v>-</v>
      </c>
      <c r="C37" t="str">
        <f>_xlfn.XLOOKUP($A37,Ronde2!$C:$C,Ronde2!$E:$E,"-")</f>
        <v>-</v>
      </c>
      <c r="D37" t="str">
        <f>_xlfn.XLOOKUP($A37,Ronde3!$C:$C,Ronde3!$E:$E,"-")</f>
        <v>-</v>
      </c>
      <c r="E37" s="51" t="str">
        <f>_xlfn.XLOOKUP($A37,Ronde4!$C:$C,Ronde4!$E:$E,"-")</f>
        <v>-</v>
      </c>
      <c r="G37">
        <f t="shared" si="0"/>
        <v>0</v>
      </c>
    </row>
    <row r="38" spans="1:7">
      <c r="A38" s="70" t="str">
        <f>AanwezigReserve!D39</f>
        <v>Pol Callebert</v>
      </c>
      <c r="B38">
        <f>_xlfn.XLOOKUP(A38,Ronde1!C:C,Ronde1!E:E,"-")</f>
        <v>10</v>
      </c>
      <c r="C38">
        <f>_xlfn.XLOOKUP($A38,Ronde2!$C:$C,Ronde2!$E:$E,"-")</f>
        <v>10</v>
      </c>
      <c r="D38">
        <f>_xlfn.XLOOKUP($A38,Ronde3!$C:$C,Ronde3!$E:$E,"-")</f>
        <v>3</v>
      </c>
      <c r="E38" s="51">
        <f>_xlfn.XLOOKUP($A38,Ronde4!$C:$C,Ronde4!$E:$E,"-")</f>
        <v>3</v>
      </c>
      <c r="G38">
        <f t="shared" si="0"/>
        <v>26</v>
      </c>
    </row>
    <row r="39" spans="1:7">
      <c r="A39" s="70" t="str">
        <f>AanwezigReserve!D40</f>
        <v>Regina De Pauw</v>
      </c>
      <c r="B39">
        <f>_xlfn.XLOOKUP(A39,Ronde1!C:C,Ronde1!E:E,"-")</f>
        <v>1</v>
      </c>
      <c r="C39">
        <f>_xlfn.XLOOKUP($A39,Ronde2!$C:$C,Ronde2!$E:$E,"-")</f>
        <v>1</v>
      </c>
      <c r="D39">
        <f>_xlfn.XLOOKUP($A39,Ronde3!$C:$C,Ronde3!$E:$E,"-")</f>
        <v>1</v>
      </c>
      <c r="E39" s="51" t="str">
        <f>_xlfn.XLOOKUP($A39,Ronde4!$C:$C,Ronde4!$E:$E,"-")</f>
        <v>-</v>
      </c>
      <c r="G39">
        <f t="shared" si="0"/>
        <v>3</v>
      </c>
    </row>
    <row r="40" spans="1:7">
      <c r="A40" s="70" t="str">
        <f>AanwezigReserve!D41</f>
        <v>Rita Van Helleputte</v>
      </c>
      <c r="B40" t="str">
        <f>_xlfn.XLOOKUP(A40,Ronde1!C:C,Ronde1!E:E,"-")</f>
        <v>-</v>
      </c>
      <c r="C40" t="str">
        <f>_xlfn.XLOOKUP($A40,Ronde2!$C:$C,Ronde2!$E:$E,"-")</f>
        <v>-</v>
      </c>
      <c r="D40" t="str">
        <f>_xlfn.XLOOKUP($A40,Ronde3!$C:$C,Ronde3!$E:$E,"-")</f>
        <v>-</v>
      </c>
      <c r="E40" s="51" t="str">
        <f>_xlfn.XLOOKUP($A40,Ronde4!$C:$C,Ronde4!$E:$E,"-")</f>
        <v>-</v>
      </c>
      <c r="G40">
        <f t="shared" si="0"/>
        <v>0</v>
      </c>
    </row>
    <row r="41" spans="1:7">
      <c r="A41" s="70" t="str">
        <f>AanwezigReserve!D42</f>
        <v>Roger Schietse</v>
      </c>
      <c r="B41">
        <f>_xlfn.XLOOKUP(A41,Ronde1!C:C,Ronde1!E:E,"-")</f>
        <v>3</v>
      </c>
      <c r="C41">
        <f>_xlfn.XLOOKUP($A41,Ronde2!$C:$C,Ronde2!$E:$E,"-")</f>
        <v>1</v>
      </c>
      <c r="D41">
        <f>_xlfn.XLOOKUP($A41,Ronde3!$C:$C,Ronde3!$E:$E,"-")</f>
        <v>1</v>
      </c>
      <c r="E41" s="51" t="str">
        <f>_xlfn.XLOOKUP($A41,Ronde4!$C:$C,Ronde4!$E:$E,"-")</f>
        <v>-</v>
      </c>
      <c r="G41">
        <f t="shared" si="0"/>
        <v>5</v>
      </c>
    </row>
    <row r="42" spans="1:7">
      <c r="A42" s="70" t="str">
        <f>AanwezigReserve!D43</f>
        <v>Roger Van Peteghem</v>
      </c>
      <c r="B42">
        <f>_xlfn.XLOOKUP(A42,Ronde1!C:C,Ronde1!E:E,"-")</f>
        <v>10</v>
      </c>
      <c r="C42">
        <f>_xlfn.XLOOKUP($A42,Ronde2!$C:$C,Ronde2!$E:$E,"-")</f>
        <v>3</v>
      </c>
      <c r="D42">
        <f>_xlfn.XLOOKUP($A42,Ronde3!$C:$C,Ronde3!$E:$E,"-")</f>
        <v>6</v>
      </c>
      <c r="E42" s="51">
        <f>_xlfn.XLOOKUP($A42,Ronde4!$C:$C,Ronde4!$E:$E,"-")</f>
        <v>6</v>
      </c>
      <c r="G42">
        <f t="shared" si="0"/>
        <v>25</v>
      </c>
    </row>
    <row r="43" spans="1:7">
      <c r="A43" s="70" t="str">
        <f>AanwezigReserve!D44</f>
        <v>Rosane Biasino</v>
      </c>
      <c r="B43">
        <f>_xlfn.XLOOKUP(A43,Ronde1!C:C,Ronde1!E:E,"-")</f>
        <v>6</v>
      </c>
      <c r="C43">
        <f>_xlfn.XLOOKUP($A43,Ronde2!$C:$C,Ronde2!$E:$E,"-")</f>
        <v>1</v>
      </c>
      <c r="D43">
        <f>_xlfn.XLOOKUP($A43,Ronde3!$C:$C,Ronde3!$E:$E,"-")</f>
        <v>1</v>
      </c>
      <c r="E43" s="51" t="str">
        <f>_xlfn.XLOOKUP($A43,Ronde4!$C:$C,Ronde4!$E:$E,"-")</f>
        <v>-</v>
      </c>
      <c r="G43">
        <f t="shared" si="0"/>
        <v>8</v>
      </c>
    </row>
    <row r="44" spans="1:7">
      <c r="A44" s="70" t="str">
        <f>AanwezigReserve!D45</f>
        <v>Simonne Pauwels</v>
      </c>
      <c r="B44">
        <f>_xlfn.XLOOKUP(A44,Ronde1!C:C,Ronde1!E:E,"-")</f>
        <v>3</v>
      </c>
      <c r="C44">
        <f>_xlfn.XLOOKUP($A44,Ronde2!$C:$C,Ronde2!$E:$E,"-")</f>
        <v>1</v>
      </c>
      <c r="D44">
        <f>_xlfn.XLOOKUP($A44,Ronde3!$C:$C,Ronde3!$E:$E,"-")</f>
        <v>1</v>
      </c>
      <c r="E44" s="51">
        <f>_xlfn.XLOOKUP($A44,Ronde4!$C:$C,Ronde4!$E:$E,"-")</f>
        <v>10</v>
      </c>
      <c r="G44">
        <f t="shared" si="0"/>
        <v>15</v>
      </c>
    </row>
    <row r="45" spans="1:7">
      <c r="A45" s="70" t="str">
        <f>AanwezigReserve!D46</f>
        <v>Stan  Astaes</v>
      </c>
      <c r="B45" t="str">
        <f>_xlfn.XLOOKUP(A45,Ronde1!C:C,Ronde1!E:E,"-")</f>
        <v>-</v>
      </c>
      <c r="C45" t="str">
        <f>_xlfn.XLOOKUP($A45,Ronde2!$C:$C,Ronde2!$E:$E,"-")</f>
        <v>-</v>
      </c>
      <c r="D45" t="str">
        <f>_xlfn.XLOOKUP($A45,Ronde3!$C:$C,Ronde3!$E:$E,"-")</f>
        <v>-</v>
      </c>
      <c r="E45" s="51" t="str">
        <f>_xlfn.XLOOKUP($A45,Ronde4!$C:$C,Ronde4!$E:$E,"-")</f>
        <v>-</v>
      </c>
      <c r="G45">
        <f t="shared" si="0"/>
        <v>0</v>
      </c>
    </row>
    <row r="46" spans="1:7">
      <c r="A46" s="70" t="str">
        <f>AanwezigReserve!D47</f>
        <v>Suzanne Muijters</v>
      </c>
      <c r="B46" t="str">
        <f>_xlfn.XLOOKUP(A46,Ronde1!C:C,Ronde1!E:E,"-")</f>
        <v>-</v>
      </c>
      <c r="C46" t="str">
        <f>_xlfn.XLOOKUP($A46,Ronde2!$C:$C,Ronde2!$E:$E,"-")</f>
        <v>-</v>
      </c>
      <c r="D46" t="str">
        <f>_xlfn.XLOOKUP($A46,Ronde3!$C:$C,Ronde3!$E:$E,"-")</f>
        <v>-</v>
      </c>
      <c r="E46" s="51" t="str">
        <f>_xlfn.XLOOKUP($A46,Ronde4!$C:$C,Ronde4!$E:$E,"-")</f>
        <v>-</v>
      </c>
      <c r="G46">
        <f t="shared" si="0"/>
        <v>0</v>
      </c>
    </row>
    <row r="47" spans="1:7">
      <c r="A47" s="70" t="str">
        <f>AanwezigReserve!D48</f>
        <v>Tony Criel</v>
      </c>
      <c r="B47">
        <f>_xlfn.XLOOKUP(A47,Ronde1!C:C,Ronde1!E:E,"-")</f>
        <v>6</v>
      </c>
      <c r="C47">
        <f>_xlfn.XLOOKUP($A47,Ronde2!$C:$C,Ronde2!$E:$E,"-")</f>
        <v>10</v>
      </c>
      <c r="D47">
        <f>_xlfn.XLOOKUP($A47,Ronde3!$C:$C,Ronde3!$E:$E,"-")</f>
        <v>6</v>
      </c>
      <c r="E47" s="51" t="str">
        <f>_xlfn.XLOOKUP($A47,Ronde4!$C:$C,Ronde4!$E:$E,"-")</f>
        <v>-</v>
      </c>
      <c r="G47">
        <f t="shared" si="0"/>
        <v>22</v>
      </c>
    </row>
    <row r="48" spans="1:7">
      <c r="A48" s="70" t="str">
        <f>AanwezigReserve!D51</f>
        <v>Wim Van Peteghem</v>
      </c>
      <c r="B48" t="str">
        <f>_xlfn.XLOOKUP(A48,Ronde1!C:C,Ronde1!E:E,"-")</f>
        <v>-</v>
      </c>
      <c r="C48" t="str">
        <f>_xlfn.XLOOKUP($A48,Ronde2!$C:$C,Ronde2!$E:$E,"-")</f>
        <v>-</v>
      </c>
      <c r="D48" t="str">
        <f>_xlfn.XLOOKUP($A48,Ronde3!$C:$C,Ronde3!$E:$E,"-")</f>
        <v>-</v>
      </c>
      <c r="E48" s="51" t="str">
        <f>_xlfn.XLOOKUP($A48,Ronde4!$C:$C,Ronde4!$E:$E,"-")</f>
        <v>-</v>
      </c>
      <c r="G48">
        <f t="shared" si="0"/>
        <v>0</v>
      </c>
    </row>
    <row r="49" spans="1:7">
      <c r="A49" s="70" t="str">
        <f>AanwezigReserve!D53</f>
        <v>Miek Dedeurwaerder</v>
      </c>
      <c r="B49" t="str">
        <f>_xlfn.XLOOKUP(A49,Ronde1!C:C,Ronde1!E:E,"-")</f>
        <v>-</v>
      </c>
      <c r="C49" t="str">
        <f>_xlfn.XLOOKUP($A49,Ronde2!$C:$C,Ronde2!$E:$E,"-")</f>
        <v>-</v>
      </c>
      <c r="D49" t="str">
        <f>_xlfn.XLOOKUP($A49,Ronde3!$C:$C,Ronde3!$E:$E,"-")</f>
        <v>-</v>
      </c>
      <c r="E49" s="51" t="str">
        <f>_xlfn.XLOOKUP($A49,Ronde4!$C:$C,Ronde4!$E:$E,"-")</f>
        <v>-</v>
      </c>
      <c r="G49">
        <f t="shared" si="0"/>
        <v>0</v>
      </c>
    </row>
    <row r="50" spans="1:7">
      <c r="A50" s="70">
        <f>AanwezigReserve!D54</f>
        <v>0</v>
      </c>
      <c r="B50" t="str">
        <f>_xlfn.XLOOKUP(A50,Ronde1!C:C,Ronde1!E:E,"-")</f>
        <v>-</v>
      </c>
      <c r="C50" t="str">
        <f>_xlfn.XLOOKUP($A50,Ronde2!$C:$C,Ronde2!$E:$E,"-")</f>
        <v>-</v>
      </c>
      <c r="D50" t="str">
        <f>_xlfn.XLOOKUP($A50,Ronde3!$C:$C,Ronde3!$E:$E,"-")</f>
        <v>-</v>
      </c>
      <c r="E50" s="51" t="str">
        <f>_xlfn.XLOOKUP($A50,Ronde4!$C:$C,Ronde4!$E:$E,"-")</f>
        <v>-</v>
      </c>
      <c r="G50">
        <f t="shared" si="0"/>
        <v>0</v>
      </c>
    </row>
    <row r="51" spans="1:7">
      <c r="A51" s="70"/>
      <c r="B51" t="str">
        <f>_xlfn.XLOOKUP(A51,Ronde1!C:C,Ronde1!E:E,"-")</f>
        <v>Pt</v>
      </c>
      <c r="C51" t="str">
        <f>_xlfn.XLOOKUP($A51,Ronde2!$C:$C,Ronde2!$E:$E,"-")</f>
        <v>pt</v>
      </c>
      <c r="D51" t="str">
        <f>_xlfn.XLOOKUP($A51,Ronde3!$C:$C,Ronde3!$E:$E,"-")</f>
        <v>Pt</v>
      </c>
      <c r="E51" s="51" t="str">
        <f>_xlfn.XLOOKUP($A51,Ronde4!$C:$C,Ronde4!$E:$E,"-")</f>
        <v>Pt</v>
      </c>
      <c r="G51">
        <f t="shared" si="0"/>
        <v>0</v>
      </c>
    </row>
    <row r="52" spans="1:7">
      <c r="A52" s="70"/>
      <c r="B52" t="str">
        <f>_xlfn.XLOOKUP(A52,Ronde1!C:C,Ronde1!E:E,"-")</f>
        <v>Pt</v>
      </c>
      <c r="C52" t="str">
        <f>_xlfn.XLOOKUP($A52,Ronde2!$C:$C,Ronde2!$E:$E,"-")</f>
        <v>pt</v>
      </c>
      <c r="D52" t="str">
        <f>_xlfn.XLOOKUP($A52,Ronde3!$C:$C,Ronde3!$E:$E,"-")</f>
        <v>Pt</v>
      </c>
      <c r="E52" s="51" t="str">
        <f>_xlfn.XLOOKUP($A52,Ronde4!$C:$C,Ronde4!$E:$E,"-")</f>
        <v>Pt</v>
      </c>
      <c r="G52">
        <f t="shared" si="0"/>
        <v>0</v>
      </c>
    </row>
    <row r="53" spans="1:7">
      <c r="A53" s="70" t="str">
        <f>AanwezigReserve!D55</f>
        <v xml:space="preserve"> </v>
      </c>
      <c r="B53" t="str">
        <f>_xlfn.XLOOKUP(A53,Ronde1!C:C,Ronde1!E:E,"-")</f>
        <v>-</v>
      </c>
      <c r="C53" t="str">
        <f>_xlfn.XLOOKUP($A53,Ronde2!$C:$C,Ronde2!$E:$E,"-")</f>
        <v>-</v>
      </c>
      <c r="D53" t="str">
        <f>_xlfn.XLOOKUP($A53,Ronde3!$C:$C,Ronde3!$E:$E,"-")</f>
        <v>-</v>
      </c>
      <c r="E53" s="51" t="str">
        <f>_xlfn.XLOOKUP($A53,Ronde4!$C:$C,Ronde4!$E:$E,"-")</f>
        <v>-</v>
      </c>
      <c r="G53">
        <f t="shared" si="0"/>
        <v>0</v>
      </c>
    </row>
    <row r="54" spans="1:7">
      <c r="A54" s="70" t="str">
        <f>AanwezigReserve!D56</f>
        <v xml:space="preserve"> </v>
      </c>
      <c r="B54" t="str">
        <f>_xlfn.XLOOKUP(A54,Ronde1!C:C,Ronde1!E:E,"-")</f>
        <v>-</v>
      </c>
      <c r="C54" t="str">
        <f>_xlfn.XLOOKUP($A54,Ronde2!$C:$C,Ronde2!$E:$E,"-")</f>
        <v>-</v>
      </c>
      <c r="D54" t="str">
        <f>_xlfn.XLOOKUP($A54,Ronde3!$C:$C,Ronde3!$E:$E,"-")</f>
        <v>-</v>
      </c>
      <c r="E54" s="51" t="str">
        <f>_xlfn.XLOOKUP($A54,Ronde4!$C:$C,Ronde4!$E:$E,"-")</f>
        <v>-</v>
      </c>
      <c r="G54">
        <f t="shared" si="0"/>
        <v>0</v>
      </c>
    </row>
    <row r="55" spans="1:7">
      <c r="A55" s="70">
        <f>AanwezigReserve!D57</f>
        <v>0</v>
      </c>
      <c r="B55" t="str">
        <f>_xlfn.XLOOKUP(A55,Ronde1!C:C,Ronde1!E:E,"-")</f>
        <v>-</v>
      </c>
      <c r="C55" t="str">
        <f>_xlfn.XLOOKUP($A55,Ronde2!$C:$C,Ronde2!$E:$E,"-")</f>
        <v>-</v>
      </c>
      <c r="D55" t="str">
        <f>_xlfn.XLOOKUP($A55,Ronde3!$C:$C,Ronde3!$E:$E,"-")</f>
        <v>-</v>
      </c>
      <c r="E55" s="51" t="str">
        <f>_xlfn.XLOOKUP($A55,Ronde4!$C:$C,Ronde4!$E:$E,"-")</f>
        <v>-</v>
      </c>
      <c r="G55">
        <f t="shared" si="0"/>
        <v>0</v>
      </c>
    </row>
    <row r="56" spans="1:7">
      <c r="A56" s="70">
        <f>AanwezigReserve!D58</f>
        <v>0</v>
      </c>
      <c r="B56" t="str">
        <f>_xlfn.XLOOKUP(A56,Ronde1!C:C,Ronde1!E:E,"-")</f>
        <v>-</v>
      </c>
      <c r="C56" t="str">
        <f>_xlfn.XLOOKUP($A56,Ronde2!$C:$C,Ronde2!$E:$E,"-")</f>
        <v>-</v>
      </c>
      <c r="D56" t="str">
        <f>_xlfn.XLOOKUP($A56,Ronde3!$C:$C,Ronde3!$E:$E,"-")</f>
        <v>-</v>
      </c>
      <c r="E56" s="51" t="str">
        <f>_xlfn.XLOOKUP($A56,Ronde4!$C:$C,Ronde4!$E:$E,"-")</f>
        <v>-</v>
      </c>
      <c r="G56">
        <f t="shared" si="0"/>
        <v>0</v>
      </c>
    </row>
    <row r="57" spans="1:7">
      <c r="A57" s="74"/>
      <c r="B57" s="75"/>
      <c r="C57" s="75"/>
      <c r="D57" s="75"/>
      <c r="E57" s="76"/>
      <c r="G57">
        <f t="shared" si="0"/>
        <v>0</v>
      </c>
    </row>
    <row r="58" spans="1:7">
      <c r="A58" s="7" t="s">
        <v>124</v>
      </c>
      <c r="B58">
        <f>COUNT(B2:B55)</f>
        <v>35</v>
      </c>
      <c r="C58">
        <f>COUNT(C2:C55)</f>
        <v>35</v>
      </c>
      <c r="D58">
        <f>COUNT(D2:D55)</f>
        <v>35</v>
      </c>
      <c r="E58">
        <f>COUNT(E2:E55)</f>
        <v>16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C0603-53A4-4B17-AE82-C15B45B6B27D}">
  <sheetPr codeName="Blad10"/>
  <dimension ref="A1:W100"/>
  <sheetViews>
    <sheetView workbookViewId="0"/>
  </sheetViews>
  <sheetFormatPr defaultColWidth="8.85546875" defaultRowHeight="12.75"/>
  <cols>
    <col min="1" max="1" width="23.140625" style="181" bestFit="1" customWidth="1"/>
    <col min="2" max="2" width="4.42578125" style="181" customWidth="1"/>
    <col min="3" max="3" width="5.28515625" style="20" customWidth="1"/>
    <col min="4" max="4" width="7.28515625" style="20" customWidth="1"/>
    <col min="5" max="5" width="7" style="20" customWidth="1"/>
    <col min="6" max="6" width="6.42578125" style="20" customWidth="1"/>
    <col min="7" max="7" width="9.140625" style="20" bestFit="1" customWidth="1"/>
    <col min="8" max="8" width="18.42578125" style="20" bestFit="1" customWidth="1"/>
    <col min="9" max="9" width="14.28515625" style="20" customWidth="1"/>
    <col min="10" max="10" width="9.140625" style="20" bestFit="1" customWidth="1"/>
    <col min="11" max="13" width="8.85546875" style="20"/>
    <col min="14" max="14" width="26.42578125" style="20" customWidth="1"/>
    <col min="15" max="15" width="3.85546875" style="181" customWidth="1"/>
    <col min="16" max="19" width="3.85546875" style="20" customWidth="1"/>
    <col min="20" max="20" width="2.42578125" style="20" customWidth="1"/>
    <col min="21" max="21" width="6.42578125" style="20" customWidth="1"/>
    <col min="22" max="22" width="17.140625" style="20" customWidth="1"/>
    <col min="23" max="16384" width="8.85546875" style="20"/>
  </cols>
  <sheetData>
    <row r="1" spans="1:23" ht="15">
      <c r="A1" s="181" t="s">
        <v>136</v>
      </c>
      <c r="B1" s="181" t="s">
        <v>125</v>
      </c>
      <c r="C1" s="212">
        <f>COUNT(C3:C55)/4</f>
        <v>8.75</v>
      </c>
      <c r="D1" s="20">
        <f>COUNT(D3:D55)/4</f>
        <v>8.75</v>
      </c>
      <c r="E1" s="20">
        <f>COUNT(E3:E55)/4</f>
        <v>8.75</v>
      </c>
      <c r="F1" s="20">
        <f>COUNT(F3:F55)/4</f>
        <v>4</v>
      </c>
      <c r="G1" s="86" t="s">
        <v>125</v>
      </c>
      <c r="H1" s="251">
        <f ca="1">TODAY()</f>
        <v>46139</v>
      </c>
      <c r="I1" s="86" t="s">
        <v>125</v>
      </c>
      <c r="J1" s="86" t="s">
        <v>125</v>
      </c>
      <c r="K1" s="86" t="s">
        <v>125</v>
      </c>
      <c r="L1" s="86" t="s">
        <v>125</v>
      </c>
      <c r="M1" s="86" t="s">
        <v>125</v>
      </c>
      <c r="N1" s="86" t="s">
        <v>125</v>
      </c>
      <c r="O1" s="86" t="s">
        <v>125</v>
      </c>
      <c r="P1" s="304" t="s">
        <v>114</v>
      </c>
      <c r="Q1" s="305"/>
      <c r="R1" s="305"/>
      <c r="S1" s="305"/>
      <c r="T1" s="305"/>
      <c r="U1" s="306"/>
    </row>
    <row r="2" spans="1:23" s="181" customFormat="1">
      <c r="A2">
        <f ca="1">MONTH(Loting!H8)</f>
        <v>4</v>
      </c>
      <c r="B2" s="181" t="s">
        <v>7</v>
      </c>
      <c r="C2" s="181" t="s">
        <v>51</v>
      </c>
      <c r="D2" s="181" t="s">
        <v>73</v>
      </c>
      <c r="E2" s="181" t="s">
        <v>74</v>
      </c>
      <c r="F2" s="181" t="s">
        <v>75</v>
      </c>
      <c r="G2" s="181" t="s">
        <v>108</v>
      </c>
      <c r="P2" s="181" t="s">
        <v>109</v>
      </c>
      <c r="Q2" s="181" t="s">
        <v>110</v>
      </c>
      <c r="R2" s="181" t="s">
        <v>111</v>
      </c>
      <c r="S2" s="181" t="s">
        <v>112</v>
      </c>
      <c r="U2" s="181" t="s">
        <v>113</v>
      </c>
      <c r="W2" s="181" t="s">
        <v>113</v>
      </c>
    </row>
    <row r="3" spans="1:23">
      <c r="A3" s="181" t="str">
        <f>AanwezigReserve!D3</f>
        <v>Alfreda Fiers</v>
      </c>
      <c r="B3" s="181" t="str">
        <f>VLOOKUP(A3,AanwezigReserve!D:F,3,0)</f>
        <v>A</v>
      </c>
      <c r="C3" s="20" t="str">
        <f>IFERROR(VLOOKUP($A3,Ronde1!$C$1:E$100,3,0),"")</f>
        <v/>
      </c>
      <c r="D3" s="86" t="str">
        <f>IFERROR(VLOOKUP($A3,Ronde2!$C$1:$E$100,3,0),"")</f>
        <v/>
      </c>
      <c r="E3" s="20" t="str">
        <f>IFERROR(VLOOKUP($A3,Ronde3!$C$1:$E$100,3,0),"")</f>
        <v/>
      </c>
      <c r="F3" s="20" t="str">
        <f>IFERROR(VLOOKUP($A3,Ronde4!$C$1:$E$100,3,0),"")</f>
        <v/>
      </c>
      <c r="G3" s="20">
        <f>COUNT(C3:E3)</f>
        <v>0</v>
      </c>
      <c r="N3" s="181"/>
      <c r="P3" s="20" t="str">
        <f>IFERROR(VLOOKUP($A3,Ronde1!$C$1:Q$100,4,0),"")</f>
        <v/>
      </c>
      <c r="Q3" s="20" t="str">
        <f>IFERROR(VLOOKUP($A3,Ronde2!$C$1:R$100,4,0),"")</f>
        <v/>
      </c>
      <c r="R3" s="20" t="str">
        <f>IFERROR(VLOOKUP($A3,Ronde3!$C$1:S$100,4,0),"")</f>
        <v/>
      </c>
      <c r="S3" s="20" t="str">
        <f>IFERROR(VLOOKUP($A3,Ronde4!$C$1:S$100,4,0),"")</f>
        <v/>
      </c>
      <c r="U3" s="20">
        <f>SUM($P3:$S3)</f>
        <v>0</v>
      </c>
      <c r="W3" s="20">
        <v>2</v>
      </c>
    </row>
    <row r="4" spans="1:23">
      <c r="A4" s="181" t="str">
        <f>AanwezigReserve!D4</f>
        <v>Brigitte Raeymaekers</v>
      </c>
      <c r="B4" s="181">
        <f>VLOOKUP(A4,AanwezigReserve!D:F,3,0)</f>
        <v>4</v>
      </c>
      <c r="C4" s="20">
        <f>IFERROR(VLOOKUP($A4,Ronde1!$C$1:E$100,3,0),"")</f>
        <v>3</v>
      </c>
      <c r="D4" s="86">
        <f>IFERROR(VLOOKUP($A4,Ronde2!$C$1:$E$100,3,0),"")</f>
        <v>3</v>
      </c>
      <c r="E4" s="20">
        <f>IFERROR(VLOOKUP($A4,Ronde3!$C$1:$E$100,3,0),"")</f>
        <v>1</v>
      </c>
      <c r="F4" s="20">
        <f>IFERROR(VLOOKUP($A4,Ronde4!$C$1:$E$100,3,0),"")</f>
        <v>3</v>
      </c>
      <c r="G4" s="20">
        <f t="shared" ref="G4:G53" si="0">COUNT(C4:E4)</f>
        <v>3</v>
      </c>
      <c r="H4" s="86"/>
      <c r="N4" s="181"/>
      <c r="P4" s="20">
        <f>IFERROR(VLOOKUP($A4,Ronde1!$C$1:Q$100,4,0),"")</f>
        <v>1</v>
      </c>
      <c r="Q4" s="20">
        <f>IFERROR(VLOOKUP($A4,Ronde2!$C$1:R$100,4,0),"")</f>
        <v>0</v>
      </c>
      <c r="R4" s="20">
        <f>IFERROR(VLOOKUP($A4,Ronde3!$C$1:S$100,4,0),"")</f>
        <v>3</v>
      </c>
      <c r="S4" s="20">
        <f>IFERROR(VLOOKUP($A4,Ronde4!$C$1:S$100,4,0),"")</f>
        <v>0</v>
      </c>
      <c r="U4" s="20">
        <f t="shared" ref="U4:U54" si="1">SUM($P4:$S4)</f>
        <v>4</v>
      </c>
      <c r="W4" s="20">
        <v>3</v>
      </c>
    </row>
    <row r="5" spans="1:23">
      <c r="A5" s="181" t="str">
        <f>AanwezigReserve!D5</f>
        <v>Chris Cuppens</v>
      </c>
      <c r="B5" s="181">
        <f>VLOOKUP(A5,AanwezigReserve!D:F,3,0)</f>
        <v>4</v>
      </c>
      <c r="C5" s="20">
        <f>IFERROR(VLOOKUP($A5,Ronde1!$C$1:E$100,3,0),"")</f>
        <v>3</v>
      </c>
      <c r="D5" s="86">
        <f>IFERROR(VLOOKUP($A5,Ronde2!$C$1:$E$100,3,0),"")</f>
        <v>3</v>
      </c>
      <c r="E5" s="20">
        <f>IFERROR(VLOOKUP($A5,Ronde3!$C$1:$E$100,3,0),"")</f>
        <v>3</v>
      </c>
      <c r="F5" s="20">
        <f>IFERROR(VLOOKUP($A5,Ronde4!$C$1:$E$100,3,0),"")</f>
        <v>3</v>
      </c>
      <c r="G5" s="20">
        <f t="shared" si="0"/>
        <v>3</v>
      </c>
      <c r="H5" s="86"/>
      <c r="N5" s="181"/>
      <c r="P5" s="20">
        <f>IFERROR(VLOOKUP($A5,Ronde1!$C$1:Q$100,4,0),"")</f>
        <v>3</v>
      </c>
      <c r="Q5" s="20">
        <f>IFERROR(VLOOKUP($A5,Ronde2!$C$1:R$100,4,0),"")</f>
        <v>1</v>
      </c>
      <c r="R5" s="20">
        <f>IFERROR(VLOOKUP($A5,Ronde3!$C$1:S$100,4,0),"")</f>
        <v>0</v>
      </c>
      <c r="S5" s="20">
        <f>IFERROR(VLOOKUP($A5,Ronde4!$C$1:S$100,4,0),"")</f>
        <v>3</v>
      </c>
      <c r="U5" s="20">
        <f t="shared" si="1"/>
        <v>7</v>
      </c>
      <c r="W5" s="20">
        <v>2</v>
      </c>
    </row>
    <row r="6" spans="1:23">
      <c r="A6" s="181" t="str">
        <f>AanwezigReserve!D6</f>
        <v>Christiane De Maesschalck</v>
      </c>
      <c r="B6" s="181">
        <f>VLOOKUP(A6,AanwezigReserve!D:F,3,0)</f>
        <v>3</v>
      </c>
      <c r="C6" s="20">
        <f>IFERROR(VLOOKUP($A6,Ronde1!$C$1:E$100,3,0),"")</f>
        <v>1</v>
      </c>
      <c r="D6" s="86">
        <f>IFERROR(VLOOKUP($A6,Ronde2!$C$1:$E$100,3,0),"")</f>
        <v>10</v>
      </c>
      <c r="E6" s="20">
        <f>IFERROR(VLOOKUP($A6,Ronde3!$C$1:$E$100,3,0),"")</f>
        <v>10</v>
      </c>
      <c r="F6" s="20" t="str">
        <f>IFERROR(VLOOKUP($A6,Ronde4!$C$1:$E$100,3,0),"")</f>
        <v/>
      </c>
      <c r="G6" s="20">
        <f t="shared" si="0"/>
        <v>3</v>
      </c>
      <c r="H6" s="86"/>
      <c r="N6" s="181"/>
      <c r="P6" s="20">
        <f>IFERROR(VLOOKUP($A6,Ronde1!$C$1:Q$100,4,0),"")</f>
        <v>0</v>
      </c>
      <c r="Q6" s="20">
        <f>IFERROR(VLOOKUP($A6,Ronde2!$C$1:R$100,4,0),"")</f>
        <v>3</v>
      </c>
      <c r="R6" s="20">
        <f>IFERROR(VLOOKUP($A6,Ronde3!$C$1:S$100,4,0),"")</f>
        <v>1</v>
      </c>
      <c r="S6" s="20" t="str">
        <f>IFERROR(VLOOKUP($A6,Ronde4!$C$1:S$100,4,0),"")</f>
        <v/>
      </c>
      <c r="U6" s="20">
        <f t="shared" si="1"/>
        <v>4</v>
      </c>
      <c r="W6" s="20">
        <v>3</v>
      </c>
    </row>
    <row r="7" spans="1:23">
      <c r="A7" s="181" t="str">
        <f>AanwezigReserve!D7</f>
        <v>Christiane Van der Sypt</v>
      </c>
      <c r="B7" s="181">
        <f>VLOOKUP(A7,AanwezigReserve!D:F,3,0)</f>
        <v>3</v>
      </c>
      <c r="C7" s="20">
        <f>IFERROR(VLOOKUP($A7,Ronde1!$C$1:E$100,3,0),"")</f>
        <v>1</v>
      </c>
      <c r="D7" s="86">
        <f>IFERROR(VLOOKUP($A7,Ronde2!$C$1:$E$100,3,0),"")</f>
        <v>6</v>
      </c>
      <c r="E7" s="20">
        <f>IFERROR(VLOOKUP($A7,Ronde3!$C$1:$E$100,3,0),"")</f>
        <v>1</v>
      </c>
      <c r="F7" s="20" t="str">
        <f>IFERROR(VLOOKUP($A7,Ronde4!$C$1:$E$100,3,0),"")</f>
        <v/>
      </c>
      <c r="G7" s="20">
        <f t="shared" si="0"/>
        <v>3</v>
      </c>
      <c r="H7" s="86"/>
      <c r="N7" s="181"/>
      <c r="P7" s="20">
        <f>IFERROR(VLOOKUP($A7,Ronde1!$C$1:Q$100,4,0),"")</f>
        <v>0</v>
      </c>
      <c r="Q7" s="20">
        <f>IFERROR(VLOOKUP($A7,Ronde2!$C$1:R$100,4,0),"")</f>
        <v>3</v>
      </c>
      <c r="R7" s="20">
        <f>IFERROR(VLOOKUP($A7,Ronde3!$C$1:S$100,4,0),"")</f>
        <v>0</v>
      </c>
      <c r="S7" s="20" t="str">
        <f>IFERROR(VLOOKUP($A7,Ronde4!$C$1:S$100,4,0),"")</f>
        <v/>
      </c>
      <c r="U7" s="20">
        <f t="shared" si="1"/>
        <v>3</v>
      </c>
      <c r="W7" s="20">
        <v>5</v>
      </c>
    </row>
    <row r="8" spans="1:23">
      <c r="A8" s="181" t="str">
        <f>AanwezigReserve!D8</f>
        <v>Daniel Bogaert</v>
      </c>
      <c r="B8" s="181">
        <f>VLOOKUP(A8,AanwezigReserve!D:F,3,0)</f>
        <v>4</v>
      </c>
      <c r="C8" s="20">
        <f>IFERROR(VLOOKUP($A8,Ronde1!$C$1:E$100,3,0),"")</f>
        <v>1</v>
      </c>
      <c r="D8" s="86">
        <f>IFERROR(VLOOKUP($A8,Ronde2!$C$1:$E$100,3,0),"")</f>
        <v>1</v>
      </c>
      <c r="E8" s="20">
        <f>IFERROR(VLOOKUP($A8,Ronde3!$C$1:$E$100,3,0),"")</f>
        <v>10</v>
      </c>
      <c r="F8" s="20">
        <f>IFERROR(VLOOKUP($A8,Ronde4!$C$1:$E$100,3,0),"")</f>
        <v>1</v>
      </c>
      <c r="G8" s="20">
        <f t="shared" si="0"/>
        <v>3</v>
      </c>
      <c r="H8" s="86"/>
      <c r="N8" s="181"/>
      <c r="P8" s="20">
        <f>IFERROR(VLOOKUP($A8,Ronde1!$C$1:Q$100,4,0),"")</f>
        <v>2</v>
      </c>
      <c r="Q8" s="20">
        <f>IFERROR(VLOOKUP($A8,Ronde2!$C$1:R$100,4,0),"")</f>
        <v>11</v>
      </c>
      <c r="R8" s="20">
        <f>IFERROR(VLOOKUP($A8,Ronde3!$C$1:S$100,4,0),"")</f>
        <v>1</v>
      </c>
      <c r="S8" s="20">
        <f>IFERROR(VLOOKUP($A8,Ronde4!$C$1:S$100,4,0),"")</f>
        <v>0</v>
      </c>
      <c r="U8" s="20">
        <f t="shared" si="1"/>
        <v>14</v>
      </c>
      <c r="W8" s="20">
        <v>4</v>
      </c>
    </row>
    <row r="9" spans="1:23">
      <c r="A9" s="181" t="str">
        <f>AanwezigReserve!D9</f>
        <v>Daniella Vanhalewyn</v>
      </c>
      <c r="B9" s="181">
        <f>VLOOKUP(A9,AanwezigReserve!D:F,3,0)</f>
        <v>4</v>
      </c>
      <c r="C9" s="20">
        <f>IFERROR(VLOOKUP($A9,Ronde1!$C$1:E$100,3,0),"")</f>
        <v>10</v>
      </c>
      <c r="D9" s="86">
        <f>IFERROR(VLOOKUP($A9,Ronde2!$C$1:$E$100,3,0),"")</f>
        <v>3</v>
      </c>
      <c r="E9" s="20">
        <f>IFERROR(VLOOKUP($A9,Ronde3!$C$1:$E$100,3,0),"")</f>
        <v>10</v>
      </c>
      <c r="F9" s="20">
        <f>IFERROR(VLOOKUP($A9,Ronde4!$C$1:$E$100,3,0),"")</f>
        <v>10</v>
      </c>
      <c r="G9" s="20">
        <f t="shared" si="0"/>
        <v>3</v>
      </c>
      <c r="H9" s="86"/>
      <c r="N9" s="181"/>
      <c r="P9" s="20">
        <f>IFERROR(VLOOKUP($A9,Ronde1!$C$1:Q$100,4,0),"")</f>
        <v>1</v>
      </c>
      <c r="Q9" s="20">
        <f>IFERROR(VLOOKUP($A9,Ronde2!$C$1:R$100,4,0),"")</f>
        <v>5</v>
      </c>
      <c r="R9" s="20">
        <f>IFERROR(VLOOKUP($A9,Ronde3!$C$1:S$100,4,0),"")</f>
        <v>3</v>
      </c>
      <c r="S9" s="20">
        <f>IFERROR(VLOOKUP($A9,Ronde4!$C$1:S$100,4,0),"")</f>
        <v>0</v>
      </c>
      <c r="U9" s="20">
        <f t="shared" si="1"/>
        <v>9</v>
      </c>
      <c r="W9" s="20">
        <v>5</v>
      </c>
    </row>
    <row r="10" spans="1:23">
      <c r="A10" s="181" t="str">
        <f>AanwezigReserve!D10</f>
        <v>Dirk De Brabander</v>
      </c>
      <c r="B10" s="181">
        <f>VLOOKUP(A10,AanwezigReserve!D:F,3,0)</f>
        <v>3</v>
      </c>
      <c r="C10" s="20">
        <f>IFERROR(VLOOKUP($A10,Ronde1!$C$1:E$100,3,0),"")</f>
        <v>6</v>
      </c>
      <c r="D10" s="86">
        <f>IFERROR(VLOOKUP($A10,Ronde2!$C$1:$E$100,3,0),"")</f>
        <v>3</v>
      </c>
      <c r="E10" s="20">
        <f>IFERROR(VLOOKUP($A10,Ronde3!$C$1:$E$100,3,0),"")</f>
        <v>10</v>
      </c>
      <c r="F10" s="20" t="str">
        <f>IFERROR(VLOOKUP($A10,Ronde4!$C$1:$E$100,3,0),"")</f>
        <v/>
      </c>
      <c r="G10" s="20">
        <f t="shared" si="0"/>
        <v>3</v>
      </c>
      <c r="H10" s="86"/>
      <c r="N10" s="181"/>
      <c r="P10" s="20">
        <f>IFERROR(VLOOKUP($A10,Ronde1!$C$1:Q$100,4,0),"")</f>
        <v>3</v>
      </c>
      <c r="Q10" s="20">
        <f>IFERROR(VLOOKUP($A10,Ronde2!$C$1:R$100,4,0),"")</f>
        <v>0</v>
      </c>
      <c r="R10" s="20">
        <f>IFERROR(VLOOKUP($A10,Ronde3!$C$1:S$100,4,0),"")</f>
        <v>0</v>
      </c>
      <c r="S10" s="20" t="str">
        <f>IFERROR(VLOOKUP($A10,Ronde4!$C$1:S$100,4,0),"")</f>
        <v/>
      </c>
      <c r="U10" s="20">
        <f t="shared" si="1"/>
        <v>3</v>
      </c>
      <c r="W10" s="20">
        <v>4</v>
      </c>
    </row>
    <row r="11" spans="1:23">
      <c r="A11" s="181" t="str">
        <f>AanwezigReserve!D11</f>
        <v>Dirk Desante</v>
      </c>
      <c r="B11" s="181">
        <f>VLOOKUP(A11,AanwezigReserve!D:F,3,0)</f>
        <v>3</v>
      </c>
      <c r="C11" s="20">
        <f>IFERROR(VLOOKUP($A11,Ronde1!$C$1:E$100,3,0),"")</f>
        <v>6</v>
      </c>
      <c r="D11" s="86">
        <f>IFERROR(VLOOKUP($A11,Ronde2!$C$1:$E$100,3,0),"")</f>
        <v>6</v>
      </c>
      <c r="E11" s="20">
        <f>IFERROR(VLOOKUP($A11,Ronde3!$C$1:$E$100,3,0),"")</f>
        <v>10</v>
      </c>
      <c r="F11" s="20" t="str">
        <f>IFERROR(VLOOKUP($A11,Ronde4!$C$1:$E$100,3,0),"")</f>
        <v/>
      </c>
      <c r="G11" s="20">
        <f t="shared" si="0"/>
        <v>3</v>
      </c>
      <c r="H11" s="86"/>
      <c r="N11" s="181"/>
      <c r="P11" s="20">
        <f>IFERROR(VLOOKUP($A11,Ronde1!$C$1:Q$100,4,0),"")</f>
        <v>3</v>
      </c>
      <c r="Q11" s="20">
        <f>IFERROR(VLOOKUP($A11,Ronde2!$C$1:R$100,4,0),"")</f>
        <v>0</v>
      </c>
      <c r="R11" s="20">
        <f>IFERROR(VLOOKUP($A11,Ronde3!$C$1:S$100,4,0),"")</f>
        <v>0</v>
      </c>
      <c r="S11" s="20" t="str">
        <f>IFERROR(VLOOKUP($A11,Ronde4!$C$1:S$100,4,0),"")</f>
        <v/>
      </c>
      <c r="U11" s="20">
        <f t="shared" si="1"/>
        <v>3</v>
      </c>
      <c r="W11" s="20">
        <v>5</v>
      </c>
    </row>
    <row r="12" spans="1:23">
      <c r="A12" s="181" t="str">
        <f>AanwezigReserve!D12</f>
        <v>Etienne Saveyn</v>
      </c>
      <c r="B12" s="181">
        <f>VLOOKUP(A12,AanwezigReserve!D:F,3,0)</f>
        <v>3</v>
      </c>
      <c r="C12" s="20">
        <f>IFERROR(VLOOKUP($A12,Ronde1!$C$1:E$100,3,0),"")</f>
        <v>3</v>
      </c>
      <c r="D12" s="86">
        <f>IFERROR(VLOOKUP($A12,Ronde2!$C$1:$E$100,3,0),"")</f>
        <v>3</v>
      </c>
      <c r="E12" s="20">
        <f>IFERROR(VLOOKUP($A12,Ronde3!$C$1:$E$100,3,0),"")</f>
        <v>10</v>
      </c>
      <c r="F12" s="20" t="str">
        <f>IFERROR(VLOOKUP($A12,Ronde4!$C$1:$E$100,3,0),"")</f>
        <v/>
      </c>
      <c r="G12" s="20">
        <f t="shared" si="0"/>
        <v>3</v>
      </c>
      <c r="H12" s="86"/>
      <c r="N12" s="181"/>
      <c r="P12" s="20">
        <f>IFERROR(VLOOKUP($A12,Ronde1!$C$1:Q$100,4,0),"")</f>
        <v>5</v>
      </c>
      <c r="Q12" s="20">
        <f>IFERROR(VLOOKUP($A12,Ronde2!$C$1:R$100,4,0),"")</f>
        <v>1</v>
      </c>
      <c r="R12" s="20">
        <f>IFERROR(VLOOKUP($A12,Ronde3!$C$1:S$100,4,0),"")</f>
        <v>1</v>
      </c>
      <c r="S12" s="20" t="str">
        <f>IFERROR(VLOOKUP($A12,Ronde4!$C$1:S$100,4,0),"")</f>
        <v/>
      </c>
      <c r="U12" s="20">
        <f t="shared" si="1"/>
        <v>7</v>
      </c>
      <c r="W12" s="20">
        <v>4</v>
      </c>
    </row>
    <row r="13" spans="1:23">
      <c r="A13" s="181" t="str">
        <f>AanwezigReserve!D13</f>
        <v>Filip Dejans</v>
      </c>
      <c r="B13" s="181">
        <f>VLOOKUP(A13,AanwezigReserve!D:F,3,0)</f>
        <v>3</v>
      </c>
      <c r="C13" s="20">
        <f>IFERROR(VLOOKUP($A13,Ronde1!$C$1:E$100,3,0),"")</f>
        <v>6</v>
      </c>
      <c r="D13" s="86">
        <f>IFERROR(VLOOKUP($A13,Ronde2!$C$1:$E$100,3,0),"")</f>
        <v>10</v>
      </c>
      <c r="E13" s="20">
        <f>IFERROR(VLOOKUP($A13,Ronde3!$C$1:$E$100,3,0),"")</f>
        <v>6</v>
      </c>
      <c r="F13" s="20" t="str">
        <f>IFERROR(VLOOKUP($A13,Ronde4!$C$1:$E$100,3,0),"")</f>
        <v/>
      </c>
      <c r="G13" s="20">
        <f t="shared" si="0"/>
        <v>3</v>
      </c>
      <c r="H13" s="86"/>
      <c r="N13" s="181"/>
      <c r="P13" s="20">
        <f>IFERROR(VLOOKUP($A13,Ronde1!$C$1:Q$100,4,0),"")</f>
        <v>0</v>
      </c>
      <c r="Q13" s="20">
        <f>IFERROR(VLOOKUP($A13,Ronde2!$C$1:R$100,4,0),"")</f>
        <v>1</v>
      </c>
      <c r="R13" s="20">
        <f>IFERROR(VLOOKUP($A13,Ronde3!$C$1:S$100,4,0),"")</f>
        <v>2</v>
      </c>
      <c r="S13" s="20" t="str">
        <f>IFERROR(VLOOKUP($A13,Ronde4!$C$1:S$100,4,0),"")</f>
        <v/>
      </c>
      <c r="U13" s="20">
        <f t="shared" si="1"/>
        <v>3</v>
      </c>
      <c r="W13" s="20">
        <v>0</v>
      </c>
    </row>
    <row r="14" spans="1:23">
      <c r="A14" s="181" t="str">
        <f>AanwezigReserve!D14</f>
        <v>Francine Thienpont</v>
      </c>
      <c r="B14" s="181">
        <f>VLOOKUP(A14,AanwezigReserve!D:F,3,0)</f>
        <v>3</v>
      </c>
      <c r="C14" s="20">
        <f>IFERROR(VLOOKUP($A14,Ronde1!$C$1:E$100,3,0),"")</f>
        <v>3</v>
      </c>
      <c r="D14" s="86">
        <f>IFERROR(VLOOKUP($A14,Ronde2!$C$1:$E$100,3,0),"")</f>
        <v>1</v>
      </c>
      <c r="E14" s="20">
        <f>IFERROR(VLOOKUP($A14,Ronde3!$C$1:$E$100,3,0),"")</f>
        <v>1</v>
      </c>
      <c r="F14" s="20" t="str">
        <f>IFERROR(VLOOKUP($A14,Ronde4!$C$1:$E$100,3,0),"")</f>
        <v/>
      </c>
      <c r="G14" s="20">
        <f t="shared" si="0"/>
        <v>3</v>
      </c>
      <c r="H14" s="86"/>
      <c r="N14" s="181"/>
      <c r="P14" s="20">
        <f>IFERROR(VLOOKUP($A14,Ronde1!$C$1:Q$100,4,0),"")</f>
        <v>7</v>
      </c>
      <c r="Q14" s="20">
        <f>IFERROR(VLOOKUP($A14,Ronde2!$C$1:R$100,4,0),"")</f>
        <v>0</v>
      </c>
      <c r="R14" s="20">
        <f>IFERROR(VLOOKUP($A14,Ronde3!$C$1:S$100,4,0),"")</f>
        <v>4</v>
      </c>
      <c r="S14" s="20" t="str">
        <f>IFERROR(VLOOKUP($A14,Ronde4!$C$1:S$100,4,0),"")</f>
        <v/>
      </c>
      <c r="U14" s="20">
        <f t="shared" si="1"/>
        <v>11</v>
      </c>
      <c r="W14" s="20">
        <v>5</v>
      </c>
    </row>
    <row r="15" spans="1:23">
      <c r="A15" s="181" t="str">
        <f>AanwezigReserve!D15</f>
        <v>Frans Catteeuw</v>
      </c>
      <c r="B15" s="181" t="str">
        <f>VLOOKUP(A15,AanwezigReserve!D:F,3,0)</f>
        <v>A</v>
      </c>
      <c r="C15" s="20" t="str">
        <f>IFERROR(VLOOKUP($A15,Ronde1!$C$1:E$100,3,0),"")</f>
        <v/>
      </c>
      <c r="D15" s="86" t="str">
        <f>IFERROR(VLOOKUP($A15,Ronde2!$C$1:$E$100,3,0),"")</f>
        <v/>
      </c>
      <c r="E15" s="20" t="str">
        <f>IFERROR(VLOOKUP($A15,Ronde3!$C$1:$E$100,3,0),"")</f>
        <v/>
      </c>
      <c r="F15" s="20" t="str">
        <f>IFERROR(VLOOKUP($A15,Ronde4!$C$1:$E$100,3,0),"")</f>
        <v/>
      </c>
      <c r="G15" s="20">
        <f t="shared" si="0"/>
        <v>0</v>
      </c>
      <c r="H15" s="86"/>
      <c r="N15" s="181"/>
      <c r="P15" s="20" t="str">
        <f>IFERROR(VLOOKUP($A15,Ronde1!$C$1:Q$100,4,0),"")</f>
        <v/>
      </c>
      <c r="Q15" s="20" t="str">
        <f>IFERROR(VLOOKUP($A15,Ronde2!$C$1:R$100,4,0),"")</f>
        <v/>
      </c>
      <c r="R15" s="20" t="str">
        <f>IFERROR(VLOOKUP($A15,Ronde3!$C$1:S$100,4,0),"")</f>
        <v/>
      </c>
      <c r="S15" s="20" t="str">
        <f>IFERROR(VLOOKUP($A15,Ronde4!$C$1:S$100,4,0),"")</f>
        <v/>
      </c>
      <c r="U15" s="20">
        <f t="shared" si="1"/>
        <v>0</v>
      </c>
      <c r="W15" s="20">
        <v>1</v>
      </c>
    </row>
    <row r="16" spans="1:23">
      <c r="A16" s="181" t="str">
        <f>AanwezigReserve!D16</f>
        <v>Freddy Moerman</v>
      </c>
      <c r="B16" s="181">
        <f>VLOOKUP(A16,AanwezigReserve!D:F,3,0)</f>
        <v>4</v>
      </c>
      <c r="C16" s="20">
        <f>IFERROR(VLOOKUP($A16,Ronde1!$C$1:E$100,3,0),"")</f>
        <v>1</v>
      </c>
      <c r="D16" s="86">
        <f>IFERROR(VLOOKUP($A16,Ronde2!$C$1:$E$100,3,0),"")</f>
        <v>1</v>
      </c>
      <c r="E16" s="20">
        <f>IFERROR(VLOOKUP($A16,Ronde3!$C$1:$E$100,3,0),"")</f>
        <v>3</v>
      </c>
      <c r="F16" s="20">
        <f>IFERROR(VLOOKUP($A16,Ronde4!$C$1:$E$100,3,0),"")</f>
        <v>1</v>
      </c>
      <c r="G16" s="20">
        <f t="shared" si="0"/>
        <v>3</v>
      </c>
      <c r="H16" s="86"/>
      <c r="N16" s="181"/>
      <c r="P16" s="20">
        <f>IFERROR(VLOOKUP($A16,Ronde1!$C$1:Q$100,4,0),"")</f>
        <v>1</v>
      </c>
      <c r="Q16" s="20">
        <f>IFERROR(VLOOKUP($A16,Ronde2!$C$1:R$100,4,0),"")</f>
        <v>2</v>
      </c>
      <c r="R16" s="20">
        <f>IFERROR(VLOOKUP($A16,Ronde3!$C$1:S$100,4,0),"")</f>
        <v>0</v>
      </c>
      <c r="S16" s="20">
        <f>IFERROR(VLOOKUP($A16,Ronde4!$C$1:S$100,4,0),"")</f>
        <v>2</v>
      </c>
      <c r="U16" s="20">
        <f t="shared" si="1"/>
        <v>5</v>
      </c>
      <c r="W16" s="20">
        <v>7</v>
      </c>
    </row>
    <row r="17" spans="1:23">
      <c r="A17" s="181" t="str">
        <f>AanwezigReserve!D17</f>
        <v>Georges Tollenaere</v>
      </c>
      <c r="B17" s="181" t="str">
        <f>VLOOKUP(A17,AanwezigReserve!D:F,3,0)</f>
        <v>A</v>
      </c>
      <c r="C17" s="20" t="str">
        <f>IFERROR(VLOOKUP($A17,Ronde1!$C$1:E$100,3,0),"")</f>
        <v/>
      </c>
      <c r="D17" s="86" t="str">
        <f>IFERROR(VLOOKUP($A17,Ronde2!$C$1:$E$100,3,0),"")</f>
        <v/>
      </c>
      <c r="E17" s="20" t="str">
        <f>IFERROR(VLOOKUP($A17,Ronde3!$C$1:$E$100,3,0),"")</f>
        <v/>
      </c>
      <c r="F17" s="20" t="str">
        <f>IFERROR(VLOOKUP($A17,Ronde4!$C$1:$E$100,3,0),"")</f>
        <v/>
      </c>
      <c r="G17" s="20">
        <f t="shared" si="0"/>
        <v>0</v>
      </c>
      <c r="H17" s="86"/>
      <c r="N17" s="181"/>
      <c r="P17" s="20" t="str">
        <f>IFERROR(VLOOKUP($A17,Ronde1!$C$1:Q$100,4,0),"")</f>
        <v/>
      </c>
      <c r="Q17" s="20" t="str">
        <f>IFERROR(VLOOKUP($A17,Ronde2!$C$1:R$100,4,0),"")</f>
        <v/>
      </c>
      <c r="R17" s="20" t="str">
        <f>IFERROR(VLOOKUP($A17,Ronde3!$C$1:S$100,4,0),"")</f>
        <v/>
      </c>
      <c r="S17" s="20" t="str">
        <f>IFERROR(VLOOKUP($A17,Ronde4!$C$1:S$100,4,0),"")</f>
        <v/>
      </c>
      <c r="U17" s="20">
        <f t="shared" si="1"/>
        <v>0</v>
      </c>
      <c r="W17" s="20">
        <v>0</v>
      </c>
    </row>
    <row r="18" spans="1:23">
      <c r="A18" s="181" t="str">
        <f>AanwezigReserve!D18</f>
        <v>Gina Van Den Bossche</v>
      </c>
      <c r="B18" s="181">
        <f>VLOOKUP(A18,AanwezigReserve!D:F,3,0)</f>
        <v>3</v>
      </c>
      <c r="C18" s="20">
        <f>IFERROR(VLOOKUP($A18,Ronde1!$C$1:E$100,3,0),"")</f>
        <v>10</v>
      </c>
      <c r="D18" s="86">
        <f>IFERROR(VLOOKUP($A18,Ronde2!$C$1:$E$100,3,0),"")</f>
        <v>1</v>
      </c>
      <c r="E18" s="20">
        <f>IFERROR(VLOOKUP($A18,Ronde3!$C$1:$E$100,3,0),"")</f>
        <v>3</v>
      </c>
      <c r="F18" s="20" t="str">
        <f>IFERROR(VLOOKUP($A18,Ronde4!$C$1:$E$100,3,0),"")</f>
        <v/>
      </c>
      <c r="G18" s="20">
        <f t="shared" si="0"/>
        <v>3</v>
      </c>
      <c r="H18" s="86"/>
      <c r="N18" s="181"/>
      <c r="P18" s="20">
        <f>IFERROR(VLOOKUP($A18,Ronde1!$C$1:Q$100,4,0),"")</f>
        <v>0</v>
      </c>
      <c r="Q18" s="20">
        <f>IFERROR(VLOOKUP($A18,Ronde2!$C$1:R$100,4,0),"")</f>
        <v>0</v>
      </c>
      <c r="R18" s="20">
        <f>IFERROR(VLOOKUP($A18,Ronde3!$C$1:S$100,4,0),"")</f>
        <v>0</v>
      </c>
      <c r="S18" s="20" t="str">
        <f>IFERROR(VLOOKUP($A18,Ronde4!$C$1:S$100,4,0),"")</f>
        <v/>
      </c>
      <c r="U18" s="20">
        <f t="shared" si="1"/>
        <v>0</v>
      </c>
      <c r="W18" s="20">
        <v>0</v>
      </c>
    </row>
    <row r="19" spans="1:23">
      <c r="A19" s="181" t="str">
        <f>AanwezigReserve!D19</f>
        <v>Herman Buysse</v>
      </c>
      <c r="B19" s="181">
        <f>VLOOKUP(A19,AanwezigReserve!D:F,3,0)</f>
        <v>4</v>
      </c>
      <c r="C19" s="20">
        <f>IFERROR(VLOOKUP($A19,Ronde1!$C$1:E$100,3,0),"")</f>
        <v>6</v>
      </c>
      <c r="D19" s="86">
        <f>IFERROR(VLOOKUP($A19,Ronde2!$C$1:$E$100,3,0),"")</f>
        <v>10</v>
      </c>
      <c r="E19" s="20">
        <f>IFERROR(VLOOKUP($A19,Ronde3!$C$1:$E$100,3,0),"")</f>
        <v>1</v>
      </c>
      <c r="F19" s="20" t="str">
        <f>IFERROR(VLOOKUP($A19,Ronde4!$C$1:$E$100,3,0),"")</f>
        <v/>
      </c>
      <c r="G19" s="20">
        <f t="shared" si="0"/>
        <v>3</v>
      </c>
      <c r="H19" s="86"/>
      <c r="N19" s="181"/>
      <c r="P19" s="20">
        <f>IFERROR(VLOOKUP($A19,Ronde1!$C$1:Q$100,4,0),"")</f>
        <v>1</v>
      </c>
      <c r="Q19" s="20">
        <f>IFERROR(VLOOKUP($A19,Ronde2!$C$1:R$100,4,0),"")</f>
        <v>1</v>
      </c>
      <c r="R19" s="20">
        <f>IFERROR(VLOOKUP($A19,Ronde3!$C$1:S$100,4,0),"")</f>
        <v>0</v>
      </c>
      <c r="S19" s="20" t="str">
        <f>IFERROR(VLOOKUP($A19,Ronde4!$C$1:S$100,4,0),"")</f>
        <v/>
      </c>
      <c r="U19" s="20">
        <f t="shared" si="1"/>
        <v>2</v>
      </c>
      <c r="W19" s="20">
        <v>9</v>
      </c>
    </row>
    <row r="20" spans="1:23">
      <c r="A20" s="181" t="str">
        <f>AanwezigReserve!D20</f>
        <v>Hubert Verplaetse</v>
      </c>
      <c r="B20" s="181">
        <f>VLOOKUP(A20,AanwezigReserve!D:F,3,0)</f>
        <v>4</v>
      </c>
      <c r="C20" s="20">
        <f>IFERROR(VLOOKUP($A20,Ronde1!$C$1:E$100,3,0),"")</f>
        <v>1</v>
      </c>
      <c r="D20" s="86">
        <f>IFERROR(VLOOKUP($A20,Ronde2!$C$1:$E$100,3,0),"")</f>
        <v>6</v>
      </c>
      <c r="E20" s="20">
        <f>IFERROR(VLOOKUP($A20,Ronde3!$C$1:$E$100,3,0),"")</f>
        <v>3</v>
      </c>
      <c r="F20" s="20">
        <f>IFERROR(VLOOKUP($A20,Ronde4!$C$1:$E$100,3,0),"")</f>
        <v>3</v>
      </c>
      <c r="G20" s="20">
        <f t="shared" si="0"/>
        <v>3</v>
      </c>
      <c r="H20" s="86"/>
      <c r="N20" s="181"/>
      <c r="P20" s="20">
        <f>IFERROR(VLOOKUP($A20,Ronde1!$C$1:Q$100,4,0),"")</f>
        <v>1</v>
      </c>
      <c r="Q20" s="20">
        <f>IFERROR(VLOOKUP($A20,Ronde2!$C$1:R$100,4,0),"")</f>
        <v>0</v>
      </c>
      <c r="R20" s="20">
        <f>IFERROR(VLOOKUP($A20,Ronde3!$C$1:S$100,4,0),"")</f>
        <v>3</v>
      </c>
      <c r="S20" s="20">
        <f>IFERROR(VLOOKUP($A20,Ronde4!$C$1:S$100,4,0),"")</f>
        <v>0</v>
      </c>
      <c r="U20" s="20">
        <f t="shared" si="1"/>
        <v>4</v>
      </c>
      <c r="W20" s="20">
        <v>2</v>
      </c>
    </row>
    <row r="21" spans="1:23">
      <c r="A21" s="181" t="str">
        <f>AanwezigReserve!D21</f>
        <v>Ivan Scheir</v>
      </c>
      <c r="B21" s="181">
        <f>VLOOKUP(A21,AanwezigReserve!D:F,3,0)</f>
        <v>4</v>
      </c>
      <c r="C21" s="20">
        <f>IFERROR(VLOOKUP($A21,Ronde1!$C$1:E$100,3,0),"")</f>
        <v>10</v>
      </c>
      <c r="D21" s="86">
        <f>IFERROR(VLOOKUP($A21,Ronde2!$C$1:$E$100,3,0),"")</f>
        <v>6</v>
      </c>
      <c r="E21" s="20">
        <f>IFERROR(VLOOKUP($A21,Ronde3!$C$1:$E$100,3,0),"")</f>
        <v>1</v>
      </c>
      <c r="F21" s="20">
        <f>IFERROR(VLOOKUP($A21,Ronde4!$C$1:$E$100,3,0),"")</f>
        <v>10</v>
      </c>
      <c r="G21" s="20">
        <f t="shared" si="0"/>
        <v>3</v>
      </c>
      <c r="H21" s="86"/>
      <c r="N21" s="181"/>
      <c r="P21" s="20">
        <f>IFERROR(VLOOKUP($A21,Ronde1!$C$1:Q$100,4,0),"")</f>
        <v>1</v>
      </c>
      <c r="Q21" s="20">
        <f>IFERROR(VLOOKUP($A21,Ronde2!$C$1:R$100,4,0),"")</f>
        <v>0</v>
      </c>
      <c r="R21" s="20">
        <f>IFERROR(VLOOKUP($A21,Ronde3!$C$1:S$100,4,0),"")</f>
        <v>3</v>
      </c>
      <c r="S21" s="20">
        <f>IFERROR(VLOOKUP($A21,Ronde4!$C$1:S$100,4,0),"")</f>
        <v>2</v>
      </c>
      <c r="U21" s="20">
        <f t="shared" si="1"/>
        <v>6</v>
      </c>
      <c r="W21" s="20">
        <v>4</v>
      </c>
    </row>
    <row r="22" spans="1:23">
      <c r="A22" s="181" t="str">
        <f>AanwezigReserve!D22</f>
        <v>Jacqueline Geubels</v>
      </c>
      <c r="B22" s="181">
        <f>VLOOKUP(A22,AanwezigReserve!D:F,3,0)</f>
        <v>4</v>
      </c>
      <c r="C22" s="20">
        <f>IFERROR(VLOOKUP($A22,Ronde1!$C$1:E$100,3,0),"")</f>
        <v>3</v>
      </c>
      <c r="D22" s="86">
        <f>IFERROR(VLOOKUP($A22,Ronde2!$C$1:$E$100,3,0),"")</f>
        <v>10</v>
      </c>
      <c r="E22" s="20">
        <f>IFERROR(VLOOKUP($A22,Ronde3!$C$1:$E$100,3,0),"")</f>
        <v>10</v>
      </c>
      <c r="F22" s="20">
        <f>IFERROR(VLOOKUP($A22,Ronde4!$C$1:$E$100,3,0),"")</f>
        <v>6</v>
      </c>
      <c r="G22" s="20">
        <f t="shared" si="0"/>
        <v>3</v>
      </c>
      <c r="H22" s="86"/>
      <c r="N22" s="181"/>
      <c r="P22" s="20">
        <f>IFERROR(VLOOKUP($A22,Ronde1!$C$1:Q$100,4,0),"")</f>
        <v>2</v>
      </c>
      <c r="Q22" s="20">
        <f>IFERROR(VLOOKUP($A22,Ronde2!$C$1:R$100,4,0),"")</f>
        <v>3</v>
      </c>
      <c r="R22" s="20">
        <f>IFERROR(VLOOKUP($A22,Ronde3!$C$1:S$100,4,0),"")</f>
        <v>1</v>
      </c>
      <c r="S22" s="20">
        <f>IFERROR(VLOOKUP($A22,Ronde4!$C$1:S$100,4,0),"")</f>
        <v>3</v>
      </c>
      <c r="U22" s="20">
        <f t="shared" si="1"/>
        <v>9</v>
      </c>
      <c r="W22" s="20">
        <v>12</v>
      </c>
    </row>
    <row r="23" spans="1:23">
      <c r="A23" s="181" t="str">
        <f>AanwezigReserve!D23</f>
        <v>Jacques De Meester</v>
      </c>
      <c r="B23" s="181">
        <f>VLOOKUP(A23,AanwezigReserve!D:F,3,0)</f>
        <v>4</v>
      </c>
      <c r="C23" s="20">
        <f>IFERROR(VLOOKUP($A23,Ronde1!$C$1:E$100,3,0),"")</f>
        <v>6</v>
      </c>
      <c r="D23" s="86">
        <f>IFERROR(VLOOKUP($A23,Ronde2!$C$1:$E$100,3,0),"")</f>
        <v>6</v>
      </c>
      <c r="E23" s="20">
        <f>IFERROR(VLOOKUP($A23,Ronde3!$C$1:$E$100,3,0),"")</f>
        <v>3</v>
      </c>
      <c r="F23" s="20">
        <f>IFERROR(VLOOKUP($A23,Ronde4!$C$1:$E$100,3,0),"")</f>
        <v>6</v>
      </c>
      <c r="G23" s="20">
        <f t="shared" si="0"/>
        <v>3</v>
      </c>
      <c r="H23" s="86"/>
      <c r="N23" s="181"/>
      <c r="P23" s="20">
        <f>IFERROR(VLOOKUP($A23,Ronde1!$C$1:Q$100,4,0),"")</f>
        <v>0</v>
      </c>
      <c r="Q23" s="20">
        <f>IFERROR(VLOOKUP($A23,Ronde2!$C$1:R$100,4,0),"")</f>
        <v>1</v>
      </c>
      <c r="R23" s="20">
        <f>IFERROR(VLOOKUP($A23,Ronde3!$C$1:S$100,4,0),"")</f>
        <v>1</v>
      </c>
      <c r="S23" s="20">
        <f>IFERROR(VLOOKUP($A23,Ronde4!$C$1:S$100,4,0),"")</f>
        <v>0</v>
      </c>
      <c r="U23" s="20">
        <f t="shared" si="1"/>
        <v>2</v>
      </c>
      <c r="W23" s="20">
        <v>0</v>
      </c>
    </row>
    <row r="24" spans="1:23">
      <c r="A24" s="181" t="str">
        <f>AanwezigReserve!D24</f>
        <v>JeanM. Van Veirdeghem</v>
      </c>
      <c r="B24" s="181">
        <f>VLOOKUP(A24,AanwezigReserve!D:F,3,0)</f>
        <v>3</v>
      </c>
      <c r="C24" s="20">
        <f>IFERROR(VLOOKUP($A24,Ronde1!$C$1:E$100,3,0),"")</f>
        <v>10</v>
      </c>
      <c r="D24" s="86">
        <f>IFERROR(VLOOKUP($A24,Ronde2!$C$1:$E$100,3,0),"")</f>
        <v>3</v>
      </c>
      <c r="E24" s="20">
        <f>IFERROR(VLOOKUP($A24,Ronde3!$C$1:$E$100,3,0),"")</f>
        <v>6</v>
      </c>
      <c r="F24" s="20" t="str">
        <f>IFERROR(VLOOKUP($A24,Ronde4!$C$1:$E$100,3,0),"")</f>
        <v/>
      </c>
      <c r="G24" s="20">
        <f t="shared" si="0"/>
        <v>3</v>
      </c>
      <c r="H24" s="86"/>
      <c r="N24" s="181"/>
      <c r="P24" s="20">
        <f>IFERROR(VLOOKUP($A24,Ronde1!$C$1:Q$100,4,0),"")</f>
        <v>3</v>
      </c>
      <c r="Q24" s="20">
        <f>IFERROR(VLOOKUP($A24,Ronde2!$C$1:R$100,4,0),"")</f>
        <v>3</v>
      </c>
      <c r="R24" s="20">
        <f>IFERROR(VLOOKUP($A24,Ronde3!$C$1:S$100,4,0),"")</f>
        <v>0</v>
      </c>
      <c r="S24" s="20" t="str">
        <f>IFERROR(VLOOKUP($A24,Ronde4!$C$1:S$100,4,0),"")</f>
        <v/>
      </c>
      <c r="U24" s="20">
        <f t="shared" si="1"/>
        <v>6</v>
      </c>
      <c r="W24" s="20">
        <v>0</v>
      </c>
    </row>
    <row r="25" spans="1:23">
      <c r="A25" s="181" t="str">
        <f>AanwezigReserve!D25</f>
        <v>Jeroom Van Severen</v>
      </c>
      <c r="B25" s="181">
        <f>VLOOKUP(A25,AanwezigReserve!D:F,3,0)</f>
        <v>4</v>
      </c>
      <c r="C25" s="20">
        <f>IFERROR(VLOOKUP($A25,Ronde1!$C$1:E$100,3,0),"")</f>
        <v>1</v>
      </c>
      <c r="D25" s="86">
        <f>IFERROR(VLOOKUP($A25,Ronde2!$C$1:$E$100,3,0),"")</f>
        <v>6</v>
      </c>
      <c r="E25" s="20">
        <f>IFERROR(VLOOKUP($A25,Ronde3!$C$1:$E$100,3,0),"")</f>
        <v>6</v>
      </c>
      <c r="F25" s="20">
        <f>IFERROR(VLOOKUP($A25,Ronde4!$C$1:$E$100,3,0),"")</f>
        <v>1</v>
      </c>
      <c r="G25" s="20">
        <f t="shared" si="0"/>
        <v>3</v>
      </c>
      <c r="N25" s="181"/>
      <c r="P25" s="20">
        <f>IFERROR(VLOOKUP($A25,Ronde1!$C$1:Q$100,4,0),"")</f>
        <v>3</v>
      </c>
      <c r="Q25" s="20">
        <f>IFERROR(VLOOKUP($A25,Ronde2!$C$1:R$100,4,0),"")</f>
        <v>1</v>
      </c>
      <c r="R25" s="20">
        <f>IFERROR(VLOOKUP($A25,Ronde3!$C$1:S$100,4,0),"")</f>
        <v>0</v>
      </c>
      <c r="S25" s="20">
        <f>IFERROR(VLOOKUP($A25,Ronde4!$C$1:S$100,4,0),"")</f>
        <v>1</v>
      </c>
      <c r="U25" s="20">
        <f t="shared" si="1"/>
        <v>5</v>
      </c>
      <c r="W25" s="20">
        <v>2</v>
      </c>
    </row>
    <row r="26" spans="1:23">
      <c r="A26" s="181" t="str">
        <f>AanwezigReserve!D26</f>
        <v>Johan Saey</v>
      </c>
      <c r="B26" s="181" t="str">
        <f>VLOOKUP(A26,AanwezigReserve!D:F,3,0)</f>
        <v>A</v>
      </c>
      <c r="C26" s="20" t="str">
        <f>IFERROR(VLOOKUP($A26,Ronde1!$C$1:E$100,3,0),"")</f>
        <v/>
      </c>
      <c r="D26" s="86" t="str">
        <f>IFERROR(VLOOKUP($A26,Ronde2!$C$1:$E$100,3,0),"")</f>
        <v/>
      </c>
      <c r="E26" s="20" t="str">
        <f>IFERROR(VLOOKUP($A26,Ronde3!$C$1:$E$100,3,0),"")</f>
        <v/>
      </c>
      <c r="F26" s="20" t="str">
        <f>IFERROR(VLOOKUP($A26,Ronde4!$C$1:$E$100,3,0),"")</f>
        <v/>
      </c>
      <c r="G26" s="20">
        <f t="shared" si="0"/>
        <v>0</v>
      </c>
      <c r="H26" s="86"/>
      <c r="N26" s="181"/>
      <c r="P26" s="20" t="str">
        <f>IFERROR(VLOOKUP($A26,Ronde1!$C$1:Q$100,4,0),"")</f>
        <v/>
      </c>
      <c r="Q26" s="20" t="str">
        <f>IFERROR(VLOOKUP($A26,Ronde2!$C$1:R$100,4,0),"")</f>
        <v/>
      </c>
      <c r="R26" s="20" t="str">
        <f>IFERROR(VLOOKUP($A26,Ronde3!$C$1:S$100,4,0),"")</f>
        <v/>
      </c>
      <c r="S26" s="20" t="str">
        <f>IFERROR(VLOOKUP($A26,Ronde4!$C$1:S$100,4,0),"")</f>
        <v/>
      </c>
      <c r="U26" s="20">
        <f t="shared" si="1"/>
        <v>0</v>
      </c>
      <c r="W26" s="20">
        <v>5</v>
      </c>
    </row>
    <row r="27" spans="1:23">
      <c r="A27" s="181" t="str">
        <f>AanwezigReserve!D27</f>
        <v>Jozef Van Landeghem</v>
      </c>
      <c r="B27" s="181">
        <f>VLOOKUP(A27,AanwezigReserve!D:F,3,0)</f>
        <v>4</v>
      </c>
      <c r="C27" s="20">
        <f>IFERROR(VLOOKUP($A27,Ronde1!$C$1:E$100,3,0),"")</f>
        <v>6</v>
      </c>
      <c r="D27" s="86">
        <f>IFERROR(VLOOKUP($A27,Ronde2!$C$1:$E$100,3,0),"")</f>
        <v>1</v>
      </c>
      <c r="E27" s="20">
        <f>IFERROR(VLOOKUP($A27,Ronde3!$C$1:$E$100,3,0),"")</f>
        <v>3</v>
      </c>
      <c r="F27" s="20">
        <f>IFERROR(VLOOKUP($A27,Ronde4!$C$1:$E$100,3,0),"")</f>
        <v>3</v>
      </c>
      <c r="G27" s="20">
        <f t="shared" si="0"/>
        <v>3</v>
      </c>
      <c r="H27" s="86"/>
      <c r="N27" s="181"/>
      <c r="P27" s="20">
        <f>IFERROR(VLOOKUP($A27,Ronde1!$C$1:Q$100,4,0),"")</f>
        <v>0</v>
      </c>
      <c r="Q27" s="20">
        <f>IFERROR(VLOOKUP($A27,Ronde2!$C$1:R$100,4,0),"")</f>
        <v>0</v>
      </c>
      <c r="R27" s="20">
        <f>IFERROR(VLOOKUP($A27,Ronde3!$C$1:S$100,4,0),"")</f>
        <v>0</v>
      </c>
      <c r="S27" s="20">
        <f>IFERROR(VLOOKUP($A27,Ronde4!$C$1:S$100,4,0),"")</f>
        <v>0</v>
      </c>
      <c r="U27" s="20">
        <f t="shared" si="1"/>
        <v>0</v>
      </c>
      <c r="W27" s="20">
        <v>14</v>
      </c>
    </row>
    <row r="28" spans="1:23">
      <c r="A28" s="181" t="str">
        <f>AanwezigReserve!D28</f>
        <v>Julien Herrebaut</v>
      </c>
      <c r="B28" s="181">
        <f>VLOOKUP(A28,AanwezigReserve!D:F,3,0)</f>
        <v>3</v>
      </c>
      <c r="C28" s="20">
        <f>IFERROR(VLOOKUP($A28,Ronde1!$C$1:E$100,3,0),"")</f>
        <v>10</v>
      </c>
      <c r="D28" s="86">
        <f>IFERROR(VLOOKUP($A28,Ronde2!$C$1:$E$100,3,0),"")</f>
        <v>6</v>
      </c>
      <c r="E28" s="20">
        <f>IFERROR(VLOOKUP($A28,Ronde3!$C$1:$E$100,3,0),"")</f>
        <v>6</v>
      </c>
      <c r="F28" s="20" t="str">
        <f>IFERROR(VLOOKUP($A28,Ronde4!$C$1:$E$100,3,0),"")</f>
        <v/>
      </c>
      <c r="G28" s="20">
        <f t="shared" si="0"/>
        <v>3</v>
      </c>
      <c r="H28" s="86"/>
      <c r="N28" s="181"/>
      <c r="P28" s="20">
        <f>IFERROR(VLOOKUP($A28,Ronde1!$C$1:Q$100,4,0),"")</f>
        <v>4</v>
      </c>
      <c r="Q28" s="20">
        <f>IFERROR(VLOOKUP($A28,Ronde2!$C$1:R$100,4,0),"")</f>
        <v>1</v>
      </c>
      <c r="R28" s="20">
        <f>IFERROR(VLOOKUP($A28,Ronde3!$C$1:S$100,4,0),"")</f>
        <v>0</v>
      </c>
      <c r="S28" s="20" t="str">
        <f>IFERROR(VLOOKUP($A28,Ronde4!$C$1:S$100,4,0),"")</f>
        <v/>
      </c>
      <c r="U28" s="20">
        <f t="shared" si="1"/>
        <v>5</v>
      </c>
      <c r="W28" s="20">
        <v>0</v>
      </c>
    </row>
    <row r="29" spans="1:23">
      <c r="A29" s="181" t="str">
        <f>AanwezigReserve!D29</f>
        <v>Lucien Van Peteghem</v>
      </c>
      <c r="B29" s="181">
        <f>VLOOKUP(A29,AanwezigReserve!D:F,3,0)</f>
        <v>4</v>
      </c>
      <c r="C29" s="20">
        <f>IFERROR(VLOOKUP($A29,Ronde1!$C$1:E$100,3,0),"")</f>
        <v>3</v>
      </c>
      <c r="D29" s="86">
        <f>IFERROR(VLOOKUP($A29,Ronde2!$C$1:$E$100,3,0),"")</f>
        <v>10</v>
      </c>
      <c r="E29" s="20">
        <f>IFERROR(VLOOKUP($A29,Ronde3!$C$1:$E$100,3,0),"")</f>
        <v>3</v>
      </c>
      <c r="F29" s="20">
        <f>IFERROR(VLOOKUP($A29,Ronde4!$C$1:$E$100,3,0),"")</f>
        <v>10</v>
      </c>
      <c r="G29" s="20">
        <f t="shared" si="0"/>
        <v>3</v>
      </c>
      <c r="H29" s="86"/>
      <c r="N29" s="181"/>
      <c r="P29" s="20">
        <f>IFERROR(VLOOKUP($A29,Ronde1!$C$1:Q$100,4,0),"")</f>
        <v>0</v>
      </c>
      <c r="Q29" s="20">
        <f>IFERROR(VLOOKUP($A29,Ronde2!$C$1:R$100,4,0),"")</f>
        <v>0</v>
      </c>
      <c r="R29" s="20">
        <f>IFERROR(VLOOKUP($A29,Ronde3!$C$1:S$100,4,0),"")</f>
        <v>1</v>
      </c>
      <c r="S29" s="20">
        <f>IFERROR(VLOOKUP($A29,Ronde4!$C$1:S$100,4,0),"")</f>
        <v>0</v>
      </c>
      <c r="U29" s="20">
        <f t="shared" si="1"/>
        <v>1</v>
      </c>
      <c r="W29" s="20">
        <v>0</v>
      </c>
    </row>
    <row r="30" spans="1:23">
      <c r="A30" s="181" t="str">
        <f>AanwezigReserve!D30</f>
        <v>Lutgarde Vanderhaegen</v>
      </c>
      <c r="B30" s="181">
        <f>VLOOKUP(A30,AanwezigReserve!D:F,3,0)</f>
        <v>3</v>
      </c>
      <c r="C30" s="20">
        <f>IFERROR(VLOOKUP($A30,Ronde1!$C$1:E$100,3,0),"")</f>
        <v>10</v>
      </c>
      <c r="D30" s="86">
        <f>IFERROR(VLOOKUP($A30,Ronde2!$C$1:$E$100,3,0),"")</f>
        <v>10</v>
      </c>
      <c r="E30" s="20">
        <f>IFERROR(VLOOKUP($A30,Ronde3!$C$1:$E$100,3,0),"")</f>
        <v>6</v>
      </c>
      <c r="F30" s="20" t="str">
        <f>IFERROR(VLOOKUP($A30,Ronde4!$C$1:$E$100,3,0),"")</f>
        <v/>
      </c>
      <c r="G30" s="20">
        <f t="shared" si="0"/>
        <v>3</v>
      </c>
      <c r="H30" s="86"/>
      <c r="N30" s="181"/>
      <c r="P30" s="20">
        <f>IFERROR(VLOOKUP($A30,Ronde1!$C$1:Q$100,4,0),"")</f>
        <v>1</v>
      </c>
      <c r="Q30" s="20">
        <f>IFERROR(VLOOKUP($A30,Ronde2!$C$1:R$100,4,0),"")</f>
        <v>0</v>
      </c>
      <c r="R30" s="20">
        <f>IFERROR(VLOOKUP($A30,Ronde3!$C$1:S$100,4,0),"")</f>
        <v>2</v>
      </c>
      <c r="S30" s="20" t="str">
        <f>IFERROR(VLOOKUP($A30,Ronde4!$C$1:S$100,4,0),"")</f>
        <v/>
      </c>
      <c r="U30" s="20">
        <f t="shared" si="1"/>
        <v>3</v>
      </c>
      <c r="W30" s="20">
        <v>0</v>
      </c>
    </row>
    <row r="31" spans="1:23">
      <c r="A31" s="181" t="str">
        <f>AanwezigReserve!D31</f>
        <v>Lydie Ysveld</v>
      </c>
      <c r="B31" s="181" t="str">
        <f>VLOOKUP(A31,AanwezigReserve!D:F,3,0)</f>
        <v>A</v>
      </c>
      <c r="C31" s="20" t="str">
        <f>IFERROR(VLOOKUP($A31,Ronde1!$C$1:E$100,3,0),"")</f>
        <v/>
      </c>
      <c r="D31" s="86" t="str">
        <f>IFERROR(VLOOKUP($A31,Ronde2!$C$1:$E$100,3,0),"")</f>
        <v/>
      </c>
      <c r="E31" s="20" t="str">
        <f>IFERROR(VLOOKUP($A31,Ronde3!$C$1:$E$100,3,0),"")</f>
        <v/>
      </c>
      <c r="F31" s="20" t="str">
        <f>IFERROR(VLOOKUP($A31,Ronde4!$C$1:$E$100,3,0),"")</f>
        <v/>
      </c>
      <c r="G31" s="20">
        <f t="shared" si="0"/>
        <v>0</v>
      </c>
      <c r="H31" s="86"/>
      <c r="N31" s="181"/>
      <c r="P31" s="20" t="str">
        <f>IFERROR(VLOOKUP($A31,Ronde1!$C$1:Q$100,4,0),"")</f>
        <v/>
      </c>
      <c r="Q31" s="20" t="str">
        <f>IFERROR(VLOOKUP($A31,Ronde2!$C$1:R$100,4,0),"")</f>
        <v/>
      </c>
      <c r="R31" s="20" t="str">
        <f>IFERROR(VLOOKUP($A31,Ronde3!$C$1:S$100,4,0),"")</f>
        <v/>
      </c>
      <c r="S31" s="20" t="str">
        <f>IFERROR(VLOOKUP($A31,Ronde4!$C$1:S$100,4,0),"")</f>
        <v/>
      </c>
      <c r="U31" s="20">
        <f t="shared" si="1"/>
        <v>0</v>
      </c>
      <c r="W31" s="20">
        <v>0</v>
      </c>
    </row>
    <row r="32" spans="1:23">
      <c r="A32" s="181" t="str">
        <f>AanwezigReserve!D32</f>
        <v>Marc Ediers</v>
      </c>
      <c r="B32" s="181">
        <f>VLOOKUP(A32,AanwezigReserve!D:F,3,0)</f>
        <v>4</v>
      </c>
      <c r="C32" s="20">
        <f>IFERROR(VLOOKUP($A32,Ronde1!$C$1:E$100,3,0),"")</f>
        <v>3</v>
      </c>
      <c r="D32" s="86">
        <f>IFERROR(VLOOKUP($A32,Ronde2!$C$1:$E$100,3,0),"")</f>
        <v>3</v>
      </c>
      <c r="E32" s="20">
        <f>IFERROR(VLOOKUP($A32,Ronde3!$C$1:$E$100,3,0),"")</f>
        <v>10</v>
      </c>
      <c r="F32" s="20">
        <f>IFERROR(VLOOKUP($A32,Ronde4!$C$1:$E$100,3,0),"")</f>
        <v>6</v>
      </c>
      <c r="G32" s="20">
        <f t="shared" si="0"/>
        <v>3</v>
      </c>
      <c r="H32" s="86"/>
      <c r="N32" s="181"/>
      <c r="P32" s="20">
        <f>IFERROR(VLOOKUP($A32,Ronde1!$C$1:Q$100,4,0),"")</f>
        <v>0</v>
      </c>
      <c r="Q32" s="20">
        <f>IFERROR(VLOOKUP($A32,Ronde2!$C$1:R$100,4,0),"")</f>
        <v>0</v>
      </c>
      <c r="R32" s="20">
        <f>IFERROR(VLOOKUP($A32,Ronde3!$C$1:S$100,4,0),"")</f>
        <v>0</v>
      </c>
      <c r="S32" s="20">
        <f>IFERROR(VLOOKUP($A32,Ronde4!$C$1:S$100,4,0),"")</f>
        <v>0</v>
      </c>
      <c r="U32" s="20">
        <f t="shared" si="1"/>
        <v>0</v>
      </c>
      <c r="W32" s="20">
        <v>0</v>
      </c>
    </row>
    <row r="33" spans="1:23">
      <c r="A33" s="181" t="str">
        <f>AanwezigReserve!D33</f>
        <v>Marguerite Van Hende</v>
      </c>
      <c r="B33" s="181">
        <f>VLOOKUP(A33,AanwezigReserve!D:F,3,0)</f>
        <v>3</v>
      </c>
      <c r="C33" s="20">
        <f>IFERROR(VLOOKUP($A33,Ronde1!$C$1:E$100,3,0),"")</f>
        <v>6</v>
      </c>
      <c r="D33" s="86">
        <f>IFERROR(VLOOKUP($A33,Ronde2!$C$1:$E$100,3,0),"")</f>
        <v>6</v>
      </c>
      <c r="E33" s="20">
        <f>IFERROR(VLOOKUP($A33,Ronde3!$C$1:$E$100,3,0),"")</f>
        <v>10</v>
      </c>
      <c r="F33" s="20" t="str">
        <f>IFERROR(VLOOKUP($A33,Ronde4!$C$1:$E$100,3,0),"")</f>
        <v/>
      </c>
      <c r="G33" s="20">
        <f t="shared" si="0"/>
        <v>3</v>
      </c>
      <c r="H33" s="86"/>
      <c r="N33" s="181"/>
      <c r="P33" s="20">
        <f>IFERROR(VLOOKUP($A33,Ronde1!$C$1:Q$100,4,0),"")</f>
        <v>0</v>
      </c>
      <c r="Q33" s="20">
        <f>IFERROR(VLOOKUP($A33,Ronde2!$C$1:R$100,4,0),"")</f>
        <v>7</v>
      </c>
      <c r="R33" s="20">
        <f>IFERROR(VLOOKUP($A33,Ronde3!$C$1:S$100,4,0),"")</f>
        <v>1</v>
      </c>
      <c r="S33" s="20" t="str">
        <f>IFERROR(VLOOKUP($A33,Ronde4!$C$1:S$100,4,0),"")</f>
        <v/>
      </c>
      <c r="U33" s="20">
        <f t="shared" si="1"/>
        <v>8</v>
      </c>
      <c r="W33" s="20">
        <v>6</v>
      </c>
    </row>
    <row r="34" spans="1:23">
      <c r="A34" s="181" t="str">
        <f>AanwezigReserve!D34</f>
        <v>Marleen Denert</v>
      </c>
      <c r="B34" s="181" t="str">
        <f>VLOOKUP(A34,AanwezigReserve!D:F,3,0)</f>
        <v>A</v>
      </c>
      <c r="C34" s="20" t="str">
        <f>IFERROR(VLOOKUP($A34,Ronde1!$C$1:E$100,3,0),"")</f>
        <v/>
      </c>
      <c r="D34" s="86" t="str">
        <f>IFERROR(VLOOKUP($A34,Ronde2!$C$1:$E$100,3,0),"")</f>
        <v/>
      </c>
      <c r="E34" s="20" t="str">
        <f>IFERROR(VLOOKUP($A34,Ronde3!$C$1:$E$100,3,0),"")</f>
        <v/>
      </c>
      <c r="F34" s="20" t="str">
        <f>IFERROR(VLOOKUP($A34,Ronde4!$C$1:$E$100,3,0),"")</f>
        <v/>
      </c>
      <c r="G34" s="20">
        <f t="shared" si="0"/>
        <v>0</v>
      </c>
      <c r="H34" s="86"/>
      <c r="N34" s="181"/>
      <c r="P34" s="20" t="str">
        <f>IFERROR(VLOOKUP($A34,Ronde1!$C$1:Q$100,4,0),"")</f>
        <v/>
      </c>
      <c r="Q34" s="20" t="str">
        <f>IFERROR(VLOOKUP($A34,Ronde2!$C$1:R$100,4,0),"")</f>
        <v/>
      </c>
      <c r="R34" s="20" t="str">
        <f>IFERROR(VLOOKUP($A34,Ronde3!$C$1:S$100,4,0),"")</f>
        <v/>
      </c>
      <c r="S34" s="20" t="str">
        <f>IFERROR(VLOOKUP($A34,Ronde4!$C$1:S$100,4,0),"")</f>
        <v/>
      </c>
      <c r="U34" s="20">
        <f t="shared" si="1"/>
        <v>0</v>
      </c>
      <c r="W34" s="20">
        <v>0</v>
      </c>
    </row>
    <row r="35" spans="1:23">
      <c r="A35" s="181" t="str">
        <f>AanwezigReserve!D35</f>
        <v>Michel Van Laere</v>
      </c>
      <c r="B35" s="181">
        <f>VLOOKUP(A35,AanwezigReserve!D:F,3,0)</f>
        <v>3</v>
      </c>
      <c r="C35" s="20">
        <f>IFERROR(VLOOKUP($A35,Ronde1!$C$1:E$100,3,0),"")</f>
        <v>10</v>
      </c>
      <c r="D35" s="86">
        <f>IFERROR(VLOOKUP($A35,Ronde2!$C$1:$E$100,3,0),"")</f>
        <v>3</v>
      </c>
      <c r="E35" s="20">
        <f>IFERROR(VLOOKUP($A35,Ronde3!$C$1:$E$100,3,0),"")</f>
        <v>6</v>
      </c>
      <c r="F35" s="20" t="str">
        <f>IFERROR(VLOOKUP($A35,Ronde4!$C$1:$E$100,3,0),"")</f>
        <v/>
      </c>
      <c r="G35" s="20">
        <f t="shared" si="0"/>
        <v>3</v>
      </c>
      <c r="H35" s="86"/>
      <c r="N35" s="181"/>
      <c r="P35" s="20">
        <f>IFERROR(VLOOKUP($A35,Ronde1!$C$1:Q$100,4,0),"")</f>
        <v>0</v>
      </c>
      <c r="Q35" s="20">
        <f>IFERROR(VLOOKUP($A35,Ronde2!$C$1:R$100,4,0),"")</f>
        <v>0</v>
      </c>
      <c r="R35" s="20">
        <f>IFERROR(VLOOKUP($A35,Ronde3!$C$1:S$100,4,0),"")</f>
        <v>0</v>
      </c>
      <c r="S35" s="20" t="str">
        <f>IFERROR(VLOOKUP($A35,Ronde4!$C$1:S$100,4,0),"")</f>
        <v/>
      </c>
      <c r="U35" s="20">
        <f t="shared" si="1"/>
        <v>0</v>
      </c>
      <c r="W35" s="20">
        <v>6</v>
      </c>
    </row>
    <row r="36" spans="1:23">
      <c r="A36" s="181" t="str">
        <f>AanwezigReserve!D36</f>
        <v>Nestor Meirte</v>
      </c>
      <c r="B36" s="181">
        <f>VLOOKUP(A36,AanwezigReserve!D:F,3,0)</f>
        <v>3</v>
      </c>
      <c r="C36" s="20">
        <f>IFERROR(VLOOKUP($A36,Ronde1!$C$1:E$100,3,0),"")</f>
        <v>1</v>
      </c>
      <c r="D36" s="86">
        <f>IFERROR(VLOOKUP($A36,Ronde2!$C$1:$E$100,3,0),"")</f>
        <v>10</v>
      </c>
      <c r="E36" s="20">
        <f>IFERROR(VLOOKUP($A36,Ronde3!$C$1:$E$100,3,0),"")</f>
        <v>6</v>
      </c>
      <c r="F36" s="20" t="str">
        <f>IFERROR(VLOOKUP($A36,Ronde4!$C$1:$E$100,3,0),"")</f>
        <v/>
      </c>
      <c r="G36" s="20">
        <f t="shared" si="0"/>
        <v>3</v>
      </c>
      <c r="H36" s="86"/>
      <c r="N36" s="181"/>
      <c r="P36" s="20">
        <f>IFERROR(VLOOKUP($A36,Ronde1!$C$1:Q$100,4,0),"")</f>
        <v>2</v>
      </c>
      <c r="Q36" s="20">
        <f>IFERROR(VLOOKUP($A36,Ronde2!$C$1:R$100,4,0),"")</f>
        <v>0</v>
      </c>
      <c r="R36" s="20">
        <f>IFERROR(VLOOKUP($A36,Ronde3!$C$1:S$100,4,0),"")</f>
        <v>0</v>
      </c>
      <c r="S36" s="20" t="str">
        <f>IFERROR(VLOOKUP($A36,Ronde4!$C$1:S$100,4,0),"")</f>
        <v/>
      </c>
      <c r="U36" s="20">
        <f t="shared" si="1"/>
        <v>2</v>
      </c>
      <c r="W36" s="20">
        <v>4</v>
      </c>
    </row>
    <row r="37" spans="1:23">
      <c r="A37" s="181" t="str">
        <f>AanwezigReserve!D37</f>
        <v>Patrick Geys</v>
      </c>
      <c r="B37" s="181">
        <f>VLOOKUP(A37,AanwezigReserve!D:F,3,0)</f>
        <v>4</v>
      </c>
      <c r="C37" s="20" t="str">
        <f>IFERROR(VLOOKUP($A37,Ronde1!$C$1:E$100,3,0),"")</f>
        <v/>
      </c>
      <c r="D37" s="86" t="str">
        <f>IFERROR(VLOOKUP($A37,Ronde2!$C$1:$E$100,3,0),"")</f>
        <v/>
      </c>
      <c r="E37" s="20" t="str">
        <f>IFERROR(VLOOKUP($A37,Ronde3!$C$1:$E$100,3,0),"")</f>
        <v/>
      </c>
      <c r="F37" s="20" t="str">
        <f>IFERROR(VLOOKUP($A37,Ronde4!$C$1:$E$100,3,0),"")</f>
        <v/>
      </c>
      <c r="G37" s="20">
        <f t="shared" si="0"/>
        <v>0</v>
      </c>
      <c r="H37" s="86"/>
      <c r="N37" s="181"/>
      <c r="P37" s="20" t="str">
        <f>IFERROR(VLOOKUP($A37,Ronde1!$C$1:Q$100,4,0),"")</f>
        <v/>
      </c>
      <c r="Q37" s="20" t="str">
        <f>IFERROR(VLOOKUP($A37,Ronde2!$C$1:R$100,4,0),"")</f>
        <v/>
      </c>
      <c r="R37" s="20" t="str">
        <f>IFERROR(VLOOKUP($A37,Ronde3!$C$1:S$100,4,0),"")</f>
        <v/>
      </c>
      <c r="S37" s="20" t="str">
        <f>IFERROR(VLOOKUP($A37,Ronde4!$C$1:S$100,4,0),"")</f>
        <v/>
      </c>
      <c r="U37" s="20">
        <f t="shared" si="1"/>
        <v>0</v>
      </c>
      <c r="W37" s="20">
        <v>0</v>
      </c>
    </row>
    <row r="38" spans="1:23">
      <c r="A38" s="181" t="str">
        <f>AanwezigReserve!D38</f>
        <v>Patrick Vande Kerckhove</v>
      </c>
      <c r="B38" s="181" t="str">
        <f>VLOOKUP(A38,AanwezigReserve!D:F,3,0)</f>
        <v>A</v>
      </c>
      <c r="C38" s="20" t="str">
        <f>IFERROR(VLOOKUP($A38,Ronde1!$C$1:E$100,3,0),"")</f>
        <v/>
      </c>
      <c r="D38" s="86" t="str">
        <f>IFERROR(VLOOKUP($A38,Ronde2!$C$1:$E$100,3,0),"")</f>
        <v/>
      </c>
      <c r="E38" s="20" t="str">
        <f>IFERROR(VLOOKUP($A38,Ronde3!$C$1:$E$100,3,0),"")</f>
        <v/>
      </c>
      <c r="F38" s="20" t="str">
        <f>IFERROR(VLOOKUP($A38,Ronde4!$C$1:$E$100,3,0),"")</f>
        <v/>
      </c>
      <c r="G38" s="20">
        <f t="shared" si="0"/>
        <v>0</v>
      </c>
      <c r="H38" s="86"/>
      <c r="N38" s="181"/>
      <c r="P38" s="20" t="str">
        <f>IFERROR(VLOOKUP($A38,Ronde1!$C$1:Q$100,4,0),"")</f>
        <v/>
      </c>
      <c r="Q38" s="20" t="str">
        <f>IFERROR(VLOOKUP($A38,Ronde2!$C$1:R$100,4,0),"")</f>
        <v/>
      </c>
      <c r="R38" s="20" t="str">
        <f>IFERROR(VLOOKUP($A38,Ronde3!$C$1:S$100,4,0),"")</f>
        <v/>
      </c>
      <c r="S38" s="20" t="str">
        <f>IFERROR(VLOOKUP($A38,Ronde4!$C$1:S$100,4,0),"")</f>
        <v/>
      </c>
      <c r="U38" s="20">
        <f t="shared" si="1"/>
        <v>0</v>
      </c>
      <c r="W38" s="20">
        <v>0</v>
      </c>
    </row>
    <row r="39" spans="1:23">
      <c r="A39" s="181" t="str">
        <f>AanwezigReserve!D39</f>
        <v>Pol Callebert</v>
      </c>
      <c r="B39" s="181">
        <f>VLOOKUP(A39,AanwezigReserve!D:F,3,0)</f>
        <v>4</v>
      </c>
      <c r="C39" s="20">
        <f>IFERROR(VLOOKUP($A39,Ronde1!$C$1:E$100,3,0),"")</f>
        <v>10</v>
      </c>
      <c r="D39" s="86">
        <f>IFERROR(VLOOKUP($A39,Ronde2!$C$1:$E$100,3,0),"")</f>
        <v>10</v>
      </c>
      <c r="E39" s="20">
        <f>IFERROR(VLOOKUP($A39,Ronde3!$C$1:$E$100,3,0),"")</f>
        <v>3</v>
      </c>
      <c r="F39" s="20">
        <f>IFERROR(VLOOKUP($A39,Ronde4!$C$1:$E$100,3,0),"")</f>
        <v>3</v>
      </c>
      <c r="G39" s="20">
        <f t="shared" si="0"/>
        <v>3</v>
      </c>
      <c r="H39" s="86"/>
      <c r="N39" s="181"/>
      <c r="P39" s="20">
        <f>IFERROR(VLOOKUP($A39,Ronde1!$C$1:Q$100,4,0),"")</f>
        <v>2</v>
      </c>
      <c r="Q39" s="20">
        <f>IFERROR(VLOOKUP($A39,Ronde2!$C$1:R$100,4,0),"")</f>
        <v>0</v>
      </c>
      <c r="R39" s="20">
        <f>IFERROR(VLOOKUP($A39,Ronde3!$C$1:S$100,4,0),"")</f>
        <v>3</v>
      </c>
      <c r="S39" s="20">
        <f>IFERROR(VLOOKUP($A39,Ronde4!$C$1:S$100,4,0),"")</f>
        <v>0</v>
      </c>
      <c r="U39" s="20">
        <f t="shared" si="1"/>
        <v>5</v>
      </c>
      <c r="W39" s="20">
        <v>9</v>
      </c>
    </row>
    <row r="40" spans="1:23">
      <c r="A40" s="181" t="str">
        <f>AanwezigReserve!D40</f>
        <v>Regina De Pauw</v>
      </c>
      <c r="B40" s="181">
        <f>VLOOKUP(A40,AanwezigReserve!D:F,3,0)</f>
        <v>3</v>
      </c>
      <c r="C40" s="20">
        <f>IFERROR(VLOOKUP($A40,Ronde1!$C$1:E$100,3,0),"")</f>
        <v>1</v>
      </c>
      <c r="D40" s="86">
        <f>IFERROR(VLOOKUP($A40,Ronde2!$C$1:$E$100,3,0),"")</f>
        <v>1</v>
      </c>
      <c r="E40" s="20">
        <f>IFERROR(VLOOKUP($A40,Ronde3!$C$1:$E$100,3,0),"")</f>
        <v>1</v>
      </c>
      <c r="F40" s="20" t="str">
        <f>IFERROR(VLOOKUP($A40,Ronde4!$C$1:$E$100,3,0),"")</f>
        <v/>
      </c>
      <c r="G40" s="20">
        <f t="shared" si="0"/>
        <v>3</v>
      </c>
      <c r="H40" s="86"/>
      <c r="N40" s="181"/>
      <c r="P40" s="20">
        <f>IFERROR(VLOOKUP($A40,Ronde1!$C$1:Q$100,4,0),"")</f>
        <v>3</v>
      </c>
      <c r="Q40" s="20">
        <f>IFERROR(VLOOKUP($A40,Ronde2!$C$1:R$100,4,0),"")</f>
        <v>1</v>
      </c>
      <c r="R40" s="20">
        <f>IFERROR(VLOOKUP($A40,Ronde3!$C$1:S$100,4,0),"")</f>
        <v>3</v>
      </c>
      <c r="S40" s="20" t="str">
        <f>IFERROR(VLOOKUP($A40,Ronde4!$C$1:S$100,4,0),"")</f>
        <v/>
      </c>
      <c r="U40" s="20">
        <f t="shared" si="1"/>
        <v>7</v>
      </c>
      <c r="W40" s="20">
        <v>2</v>
      </c>
    </row>
    <row r="41" spans="1:23">
      <c r="A41" s="181" t="str">
        <f>AanwezigReserve!D41</f>
        <v>Rita Van Helleputte</v>
      </c>
      <c r="B41" s="181" t="str">
        <f>VLOOKUP(A41,AanwezigReserve!D:F,3,0)</f>
        <v>A</v>
      </c>
      <c r="C41" s="20" t="str">
        <f>IFERROR(VLOOKUP($A41,Ronde1!$C$1:E$100,3,0),"")</f>
        <v/>
      </c>
      <c r="D41" s="86" t="str">
        <f>IFERROR(VLOOKUP($A41,Ronde2!$C$1:$E$100,3,0),"")</f>
        <v/>
      </c>
      <c r="E41" s="20" t="str">
        <f>IFERROR(VLOOKUP($A41,Ronde3!$C$1:$E$100,3,0),"")</f>
        <v/>
      </c>
      <c r="F41" s="20" t="str">
        <f>IFERROR(VLOOKUP($A41,Ronde4!$C$1:$E$100,3,0),"")</f>
        <v/>
      </c>
      <c r="G41" s="20">
        <f t="shared" si="0"/>
        <v>0</v>
      </c>
      <c r="H41" s="86"/>
      <c r="N41" s="181"/>
      <c r="P41" s="20" t="str">
        <f>IFERROR(VLOOKUP($A41,Ronde1!$C$1:Q$100,4,0),"")</f>
        <v/>
      </c>
      <c r="Q41" s="20" t="str">
        <f>IFERROR(VLOOKUP($A41,Ronde2!$C$1:R$100,4,0),"")</f>
        <v/>
      </c>
      <c r="R41" s="20" t="str">
        <f>IFERROR(VLOOKUP($A41,Ronde3!$C$1:S$100,4,0),"")</f>
        <v/>
      </c>
      <c r="S41" s="20" t="str">
        <f>IFERROR(VLOOKUP($A41,Ronde4!$C$1:S$100,4,0),"")</f>
        <v/>
      </c>
      <c r="U41" s="20">
        <f t="shared" si="1"/>
        <v>0</v>
      </c>
      <c r="W41" s="20">
        <v>6</v>
      </c>
    </row>
    <row r="42" spans="1:23">
      <c r="A42" s="181" t="str">
        <f>AanwezigReserve!D42</f>
        <v>Roger Schietse</v>
      </c>
      <c r="B42" s="181">
        <f>VLOOKUP(A42,AanwezigReserve!D:F,3,0)</f>
        <v>3</v>
      </c>
      <c r="C42" s="20">
        <f>IFERROR(VLOOKUP($A42,Ronde1!$C$1:E$100,3,0),"")</f>
        <v>3</v>
      </c>
      <c r="D42" s="86">
        <f>IFERROR(VLOOKUP($A42,Ronde2!$C$1:$E$100,3,0),"")</f>
        <v>1</v>
      </c>
      <c r="E42" s="20">
        <f>IFERROR(VLOOKUP($A42,Ronde3!$C$1:$E$100,3,0),"")</f>
        <v>1</v>
      </c>
      <c r="F42" s="20" t="str">
        <f>IFERROR(VLOOKUP($A42,Ronde4!$C$1:$E$100,3,0),"")</f>
        <v/>
      </c>
      <c r="G42" s="20">
        <f t="shared" si="0"/>
        <v>3</v>
      </c>
      <c r="H42" s="86"/>
      <c r="N42" s="181"/>
      <c r="P42" s="20">
        <f>IFERROR(VLOOKUP($A42,Ronde1!$C$1:Q$100,4,0),"")</f>
        <v>0</v>
      </c>
      <c r="Q42" s="20">
        <f>IFERROR(VLOOKUP($A42,Ronde2!$C$1:R$100,4,0),"")</f>
        <v>1</v>
      </c>
      <c r="R42" s="20">
        <f>IFERROR(VLOOKUP($A42,Ronde3!$C$1:S$100,4,0),"")</f>
        <v>0</v>
      </c>
      <c r="S42" s="20" t="str">
        <f>IFERROR(VLOOKUP($A42,Ronde4!$C$1:S$100,4,0),"")</f>
        <v/>
      </c>
      <c r="U42" s="20">
        <f t="shared" si="1"/>
        <v>1</v>
      </c>
      <c r="W42" s="20">
        <v>5</v>
      </c>
    </row>
    <row r="43" spans="1:23">
      <c r="A43" s="181" t="str">
        <f>AanwezigReserve!D43</f>
        <v>Roger Van Peteghem</v>
      </c>
      <c r="B43" s="181">
        <f>VLOOKUP(A43,AanwezigReserve!D:F,3,0)</f>
        <v>4</v>
      </c>
      <c r="C43" s="20">
        <f>IFERROR(VLOOKUP($A43,Ronde1!$C$1:E$100,3,0),"")</f>
        <v>10</v>
      </c>
      <c r="D43" s="86">
        <f>IFERROR(VLOOKUP($A43,Ronde2!$C$1:$E$100,3,0),"")</f>
        <v>3</v>
      </c>
      <c r="E43" s="20">
        <f>IFERROR(VLOOKUP($A43,Ronde3!$C$1:$E$100,3,0),"")</f>
        <v>6</v>
      </c>
      <c r="F43" s="20">
        <f>IFERROR(VLOOKUP($A43,Ronde4!$C$1:$E$100,3,0),"")</f>
        <v>6</v>
      </c>
      <c r="G43" s="20">
        <f t="shared" si="0"/>
        <v>3</v>
      </c>
      <c r="H43" s="86"/>
      <c r="N43" s="181"/>
      <c r="P43" s="20">
        <f>IFERROR(VLOOKUP($A43,Ronde1!$C$1:Q$100,4,0),"")</f>
        <v>0</v>
      </c>
      <c r="Q43" s="20">
        <f>IFERROR(VLOOKUP($A43,Ronde2!$C$1:R$100,4,0),"")</f>
        <v>0</v>
      </c>
      <c r="R43" s="20">
        <f>IFERROR(VLOOKUP($A43,Ronde3!$C$1:S$100,4,0),"")</f>
        <v>0</v>
      </c>
      <c r="S43" s="20">
        <f>IFERROR(VLOOKUP($A43,Ronde4!$C$1:S$100,4,0),"")</f>
        <v>3</v>
      </c>
      <c r="U43" s="20">
        <f t="shared" si="1"/>
        <v>3</v>
      </c>
      <c r="W43" s="20">
        <v>0</v>
      </c>
    </row>
    <row r="44" spans="1:23">
      <c r="A44" s="181" t="str">
        <f>AanwezigReserve!D44</f>
        <v>Rosane Biasino</v>
      </c>
      <c r="B44" s="181">
        <f>VLOOKUP(A44,AanwezigReserve!D:F,3,0)</f>
        <v>4</v>
      </c>
      <c r="C44" s="20">
        <f>IFERROR(VLOOKUP($A44,Ronde1!$C$1:E$100,3,0),"")</f>
        <v>6</v>
      </c>
      <c r="D44" s="86">
        <f>IFERROR(VLOOKUP($A44,Ronde2!$C$1:$E$100,3,0),"")</f>
        <v>1</v>
      </c>
      <c r="E44" s="20">
        <f>IFERROR(VLOOKUP($A44,Ronde3!$C$1:$E$100,3,0),"")</f>
        <v>1</v>
      </c>
      <c r="F44" s="20" t="str">
        <f>IFERROR(VLOOKUP($A44,Ronde4!$C$1:$E$100,3,0),"")</f>
        <v/>
      </c>
      <c r="G44" s="20">
        <f t="shared" si="0"/>
        <v>3</v>
      </c>
      <c r="H44" s="86"/>
      <c r="N44" s="181"/>
      <c r="P44" s="20">
        <f>IFERROR(VLOOKUP($A44,Ronde1!$C$1:Q$100,4,0),"")</f>
        <v>0</v>
      </c>
      <c r="Q44" s="20">
        <f>IFERROR(VLOOKUP($A44,Ronde2!$C$1:R$100,4,0),"")</f>
        <v>2</v>
      </c>
      <c r="R44" s="20">
        <f>IFERROR(VLOOKUP($A44,Ronde3!$C$1:S$100,4,0),"")</f>
        <v>2</v>
      </c>
      <c r="S44" s="20" t="str">
        <f>IFERROR(VLOOKUP($A44,Ronde4!$C$1:S$100,4,0),"")</f>
        <v/>
      </c>
      <c r="U44" s="20">
        <f t="shared" si="1"/>
        <v>4</v>
      </c>
      <c r="W44" s="20">
        <v>11</v>
      </c>
    </row>
    <row r="45" spans="1:23">
      <c r="A45" s="181" t="str">
        <f>AanwezigReserve!D45</f>
        <v>Simonne Pauwels</v>
      </c>
      <c r="B45" s="181">
        <f>VLOOKUP(A45,AanwezigReserve!D:F,3,0)</f>
        <v>4</v>
      </c>
      <c r="C45" s="20">
        <f>IFERROR(VLOOKUP($A45,Ronde1!$C$1:E$100,3,0),"")</f>
        <v>3</v>
      </c>
      <c r="D45" s="86">
        <f>IFERROR(VLOOKUP($A45,Ronde2!$C$1:$E$100,3,0),"")</f>
        <v>1</v>
      </c>
      <c r="E45" s="20">
        <f>IFERROR(VLOOKUP($A45,Ronde3!$C$1:$E$100,3,0),"")</f>
        <v>1</v>
      </c>
      <c r="F45" s="20">
        <f>IFERROR(VLOOKUP($A45,Ronde4!$C$1:$E$100,3,0),"")</f>
        <v>10</v>
      </c>
      <c r="G45" s="20">
        <f t="shared" si="0"/>
        <v>3</v>
      </c>
      <c r="H45" s="86"/>
      <c r="J45" s="20">
        <v>6</v>
      </c>
      <c r="K45" s="20">
        <v>3</v>
      </c>
      <c r="N45" s="181"/>
      <c r="P45" s="20">
        <f>IFERROR(VLOOKUP($A45,Ronde1!$C$1:Q$100,4,0),"")</f>
        <v>2</v>
      </c>
      <c r="Q45" s="20">
        <f>IFERROR(VLOOKUP($A45,Ronde2!$C$1:R$100,4,0),"")</f>
        <v>0</v>
      </c>
      <c r="R45" s="20">
        <f>IFERROR(VLOOKUP($A45,Ronde3!$C$1:S$100,4,0),"")</f>
        <v>1</v>
      </c>
      <c r="S45" s="20">
        <f>IFERROR(VLOOKUP($A45,Ronde4!$C$1:S$100,4,0),"")</f>
        <v>0</v>
      </c>
      <c r="U45" s="20">
        <f t="shared" si="1"/>
        <v>3</v>
      </c>
      <c r="W45" s="20">
        <v>0</v>
      </c>
    </row>
    <row r="46" spans="1:23">
      <c r="A46" s="181" t="str">
        <f>AanwezigReserve!D46</f>
        <v>Stan  Astaes</v>
      </c>
      <c r="B46" s="181" t="str">
        <f>VLOOKUP(A46,AanwezigReserve!D:F,3,0)</f>
        <v>A</v>
      </c>
      <c r="C46" s="20" t="str">
        <f>IFERROR(VLOOKUP($A46,Ronde1!$C$1:E$100,3,0),"")</f>
        <v/>
      </c>
      <c r="D46" s="86" t="str">
        <f>IFERROR(VLOOKUP($A46,Ronde2!$C$1:$E$100,3,0),"")</f>
        <v/>
      </c>
      <c r="E46" s="20" t="str">
        <f>IFERROR(VLOOKUP($A46,Ronde3!$C$1:$E$100,3,0),"")</f>
        <v/>
      </c>
      <c r="F46" s="20" t="str">
        <f>IFERROR(VLOOKUP($A46,Ronde4!$C$1:$E$100,3,0),"")</f>
        <v/>
      </c>
      <c r="G46" s="20">
        <f t="shared" si="0"/>
        <v>0</v>
      </c>
      <c r="H46" s="86"/>
      <c r="N46" s="181"/>
      <c r="P46" s="20" t="str">
        <f>IFERROR(VLOOKUP($A46,Ronde1!$C$1:Q$100,4,0),"")</f>
        <v/>
      </c>
      <c r="Q46" s="20" t="str">
        <f>IFERROR(VLOOKUP($A46,Ronde2!$C$1:R$100,4,0),"")</f>
        <v/>
      </c>
      <c r="R46" s="20" t="str">
        <f>IFERROR(VLOOKUP($A46,Ronde3!$C$1:S$100,4,0),"")</f>
        <v/>
      </c>
      <c r="S46" s="20" t="str">
        <f>IFERROR(VLOOKUP($A46,Ronde4!$C$1:S$100,4,0),"")</f>
        <v/>
      </c>
      <c r="U46" s="20">
        <f t="shared" si="1"/>
        <v>0</v>
      </c>
      <c r="W46" s="20">
        <v>8</v>
      </c>
    </row>
    <row r="47" spans="1:23">
      <c r="A47" s="181" t="str">
        <f>AanwezigReserve!D47</f>
        <v>Suzanne Muijters</v>
      </c>
      <c r="B47" s="181" t="str">
        <f>VLOOKUP(A47,AanwezigReserve!D:F,3,0)</f>
        <v>A</v>
      </c>
      <c r="C47" s="20" t="str">
        <f>IFERROR(VLOOKUP($A47,Ronde1!$C$1:E$100,3,0),"")</f>
        <v/>
      </c>
      <c r="D47" s="86" t="str">
        <f>IFERROR(VLOOKUP($A47,Ronde2!$C$1:$E$100,3,0),"")</f>
        <v/>
      </c>
      <c r="E47" s="20" t="str">
        <f>IFERROR(VLOOKUP($A47,Ronde3!$C$1:$E$100,3,0),"")</f>
        <v/>
      </c>
      <c r="F47" s="20" t="str">
        <f>IFERROR(VLOOKUP($A47,Ronde4!$C$1:$E$100,3,0),"")</f>
        <v/>
      </c>
      <c r="G47" s="20">
        <f t="shared" si="0"/>
        <v>0</v>
      </c>
      <c r="H47" s="86"/>
      <c r="N47" s="181"/>
      <c r="P47" s="20" t="str">
        <f>IFERROR(VLOOKUP($A47,Ronde1!$C$1:Q$100,4,0),"")</f>
        <v/>
      </c>
      <c r="Q47" s="20" t="str">
        <f>IFERROR(VLOOKUP($A47,Ronde2!$C$1:R$100,4,0),"")</f>
        <v/>
      </c>
      <c r="R47" s="20" t="str">
        <f>IFERROR(VLOOKUP($A47,Ronde3!$C$1:S$100,4,0),"")</f>
        <v/>
      </c>
      <c r="S47" s="20" t="str">
        <f>IFERROR(VLOOKUP($A47,Ronde4!$C$1:S$100,4,0),"")</f>
        <v/>
      </c>
      <c r="U47" s="20">
        <f t="shared" si="1"/>
        <v>0</v>
      </c>
      <c r="W47" s="20">
        <v>4</v>
      </c>
    </row>
    <row r="48" spans="1:23">
      <c r="A48" s="181" t="str">
        <f>AanwezigReserve!D48</f>
        <v>Tony Criel</v>
      </c>
      <c r="B48" s="181">
        <f>VLOOKUP(A48,AanwezigReserve!D:F,3,0)</f>
        <v>3</v>
      </c>
      <c r="C48" s="20">
        <f>IFERROR(VLOOKUP($A48,Ronde1!$C$1:E$100,3,0),"")</f>
        <v>6</v>
      </c>
      <c r="D48" s="86">
        <f>IFERROR(VLOOKUP($A48,Ronde2!$C$1:$E$100,3,0),"")</f>
        <v>10</v>
      </c>
      <c r="E48" s="20">
        <f>IFERROR(VLOOKUP($A48,Ronde3!$C$1:$E$100,3,0),"")</f>
        <v>6</v>
      </c>
      <c r="F48" s="20" t="str">
        <f>IFERROR(VLOOKUP($A48,Ronde4!$C$1:$E$100,3,0),"")</f>
        <v/>
      </c>
      <c r="G48" s="20">
        <f t="shared" si="0"/>
        <v>3</v>
      </c>
      <c r="H48" s="86"/>
      <c r="N48" s="181"/>
      <c r="P48" s="20">
        <f>IFERROR(VLOOKUP($A48,Ronde1!$C$1:Q$100,4,0),"")</f>
        <v>3</v>
      </c>
      <c r="Q48" s="20">
        <f>IFERROR(VLOOKUP($A48,Ronde2!$C$1:R$100,4,0),"")</f>
        <v>0</v>
      </c>
      <c r="R48" s="20">
        <f>IFERROR(VLOOKUP($A48,Ronde3!$C$1:S$100,4,0),"")</f>
        <v>2</v>
      </c>
      <c r="S48" s="20" t="str">
        <f>IFERROR(VLOOKUP($A48,Ronde4!$C$1:S$100,4,0),"")</f>
        <v/>
      </c>
      <c r="U48" s="20">
        <f t="shared" si="1"/>
        <v>5</v>
      </c>
      <c r="W48" s="20">
        <v>0</v>
      </c>
    </row>
    <row r="49" spans="1:23">
      <c r="A49" s="181" t="str">
        <f>AanwezigReserve!D49</f>
        <v>Walter Saveyn</v>
      </c>
      <c r="B49" s="181" t="str">
        <f>VLOOKUP(A49,AanwezigReserve!D:F,3,0)</f>
        <v>A</v>
      </c>
      <c r="C49" s="20" t="str">
        <f>IFERROR(VLOOKUP($A49,Ronde1!$C$1:E$100,3,0),"")</f>
        <v/>
      </c>
      <c r="D49" s="86" t="str">
        <f>IFERROR(VLOOKUP($A49,Ronde2!$C$1:$E$100,3,0),"")</f>
        <v/>
      </c>
      <c r="E49" s="20" t="str">
        <f>IFERROR(VLOOKUP($A49,Ronde3!$C$1:$E$100,3,0),"")</f>
        <v/>
      </c>
      <c r="F49" s="20" t="str">
        <f>IFERROR(VLOOKUP($A49,Ronde4!$C$1:$E$100,3,0),"")</f>
        <v/>
      </c>
      <c r="G49" s="20">
        <f t="shared" si="0"/>
        <v>0</v>
      </c>
      <c r="H49" s="86"/>
      <c r="N49" s="181"/>
      <c r="P49" s="20" t="str">
        <f>IFERROR(VLOOKUP($A49,Ronde1!$C$1:Q$100,4,0),"")</f>
        <v/>
      </c>
      <c r="Q49" s="20" t="str">
        <f>IFERROR(VLOOKUP($A49,Ronde2!$C$1:R$100,4,0),"")</f>
        <v/>
      </c>
      <c r="R49" s="20" t="str">
        <f>IFERROR(VLOOKUP($A49,Ronde3!$C$1:S$100,4,0),"")</f>
        <v/>
      </c>
      <c r="S49" s="20" t="str">
        <f>IFERROR(VLOOKUP($A49,Ronde4!$C$1:S$100,4,0),"")</f>
        <v/>
      </c>
      <c r="U49" s="20">
        <f t="shared" si="1"/>
        <v>0</v>
      </c>
      <c r="W49" s="20">
        <v>0</v>
      </c>
    </row>
    <row r="50" spans="1:23">
      <c r="A50" s="181" t="str">
        <f>AanwezigReserve!D50</f>
        <v>Willy Duwyn</v>
      </c>
      <c r="B50" s="181" t="str">
        <f>VLOOKUP(A50,AanwezigReserve!D:F,3,0)</f>
        <v>A</v>
      </c>
      <c r="C50" s="20" t="str">
        <f>IFERROR(VLOOKUP($A50,Ronde1!$C$1:E$100,3,0),"")</f>
        <v/>
      </c>
      <c r="D50" s="86" t="str">
        <f>IFERROR(VLOOKUP($A50,Ronde2!$C$1:$E$100,3,0),"")</f>
        <v/>
      </c>
      <c r="E50" s="20" t="str">
        <f>IFERROR(VLOOKUP($A50,Ronde3!$C$1:$E$100,3,0),"")</f>
        <v/>
      </c>
      <c r="F50" s="20" t="str">
        <f>IFERROR(VLOOKUP($A50,Ronde4!$C$1:$E$100,3,0),"")</f>
        <v/>
      </c>
      <c r="G50" s="20">
        <f t="shared" si="0"/>
        <v>0</v>
      </c>
      <c r="H50" s="86"/>
      <c r="N50" s="181"/>
      <c r="P50" s="20" t="str">
        <f>IFERROR(VLOOKUP($A50,Ronde1!$C$1:Q$100,4,0),"")</f>
        <v/>
      </c>
      <c r="Q50" s="20" t="str">
        <f>IFERROR(VLOOKUP($A50,Ronde2!$C$1:R$100,4,0),"")</f>
        <v/>
      </c>
      <c r="R50" s="20" t="str">
        <f>IFERROR(VLOOKUP($A50,Ronde3!$C$1:S$100,4,0),"")</f>
        <v/>
      </c>
      <c r="S50" s="20" t="str">
        <f>IFERROR(VLOOKUP($A50,Ronde4!$C$1:S$100,4,0),"")</f>
        <v/>
      </c>
      <c r="U50" s="20">
        <f t="shared" si="1"/>
        <v>0</v>
      </c>
      <c r="W50" s="20">
        <v>0</v>
      </c>
    </row>
    <row r="51" spans="1:23">
      <c r="A51" s="181" t="str">
        <f>AanwezigReserve!D51</f>
        <v>Wim Van Peteghem</v>
      </c>
      <c r="C51" s="20" t="str">
        <f>IFERROR(VLOOKUP($A51,Ronde1!$C$1:E$100,3,0),"")</f>
        <v/>
      </c>
      <c r="D51" s="86" t="str">
        <f>IFERROR(VLOOKUP($A51,Ronde2!$C$1:$E$100,3,0),"")</f>
        <v/>
      </c>
      <c r="E51" s="20" t="str">
        <f>IFERROR(VLOOKUP($A51,Ronde3!$C$1:$E$100,3,0),"")</f>
        <v/>
      </c>
      <c r="F51" s="20" t="str">
        <f>IFERROR(VLOOKUP($A51,Ronde4!$C$1:$E$100,3,0),"")</f>
        <v/>
      </c>
      <c r="G51" s="20">
        <f t="shared" si="0"/>
        <v>0</v>
      </c>
      <c r="H51" s="86"/>
      <c r="N51" s="181"/>
      <c r="P51" s="20" t="str">
        <f>IFERROR(VLOOKUP($A51,Ronde1!$C$1:Q$100,4,0),"")</f>
        <v/>
      </c>
      <c r="Q51" s="20" t="str">
        <f>IFERROR(VLOOKUP($A51,Ronde2!$C$1:R$100,4,0),"")</f>
        <v/>
      </c>
      <c r="R51" s="20" t="str">
        <f>IFERROR(VLOOKUP($A51,Ronde3!$C$1:S$100,4,0),"")</f>
        <v/>
      </c>
      <c r="S51" s="20" t="str">
        <f>IFERROR(VLOOKUP($A51,Ronde4!$C$1:S$100,4,0),"")</f>
        <v/>
      </c>
      <c r="U51" s="20">
        <f t="shared" si="1"/>
        <v>0</v>
      </c>
      <c r="W51" s="20">
        <v>0</v>
      </c>
    </row>
    <row r="52" spans="1:23">
      <c r="A52" s="181" t="str">
        <f>AanwezigReserve!D52</f>
        <v>ZZAnie  Leijman</v>
      </c>
      <c r="C52" s="20" t="str">
        <f>IFERROR(VLOOKUP($A52,Ronde1!$C$1:E$100,3,0),"")</f>
        <v/>
      </c>
      <c r="D52" s="86" t="str">
        <f>IFERROR(VLOOKUP($A52,Ronde2!$C$1:$E$100,3,0),"")</f>
        <v/>
      </c>
      <c r="E52" s="20" t="str">
        <f>IFERROR(VLOOKUP($A52,Ronde3!$C$1:$E$100,3,0),"")</f>
        <v/>
      </c>
      <c r="F52" s="20" t="str">
        <f>IFERROR(VLOOKUP($A52,Ronde4!$C$1:$E$100,3,0),"")</f>
        <v/>
      </c>
      <c r="G52" s="20">
        <f>COUNT(C52:E52)</f>
        <v>0</v>
      </c>
      <c r="H52" s="86"/>
      <c r="N52" s="181"/>
      <c r="P52" s="20" t="str">
        <f>IFERROR(VLOOKUP($A52,Ronde1!$C$1:Q$100,4,0),"")</f>
        <v/>
      </c>
      <c r="Q52" s="20" t="str">
        <f>IFERROR(VLOOKUP($A52,Ronde2!$C$1:R$100,4,0),"")</f>
        <v/>
      </c>
      <c r="R52" s="20" t="str">
        <f>IFERROR(VLOOKUP($A52,Ronde3!$C$1:S$100,4,0),"")</f>
        <v/>
      </c>
      <c r="S52" s="20" t="str">
        <f>IFERROR(VLOOKUP($A52,Ronde4!$C$1:S$100,4,0),"")</f>
        <v/>
      </c>
      <c r="U52" s="20">
        <f t="shared" si="1"/>
        <v>0</v>
      </c>
      <c r="W52" s="20">
        <v>0</v>
      </c>
    </row>
    <row r="53" spans="1:23">
      <c r="A53" s="181" t="str">
        <f>AanwezigReserve!D53</f>
        <v>Miek Dedeurwaerder</v>
      </c>
      <c r="C53" s="20" t="str">
        <f>IFERROR(VLOOKUP($A53,Ronde1!$C$1:E$100,3,0),"")</f>
        <v/>
      </c>
      <c r="D53" s="86" t="str">
        <f>IFERROR(VLOOKUP($A53,Ronde2!$C$1:$E$100,3,0),"")</f>
        <v/>
      </c>
      <c r="E53" s="20" t="str">
        <f>IFERROR(VLOOKUP($A53,Ronde3!$C$1:$E$100,3,0),"")</f>
        <v/>
      </c>
      <c r="F53" s="20" t="str">
        <f>IFERROR(VLOOKUP($A53,Ronde4!$C$1:$E$100,3,0),"")</f>
        <v/>
      </c>
      <c r="G53" s="20">
        <f t="shared" si="0"/>
        <v>0</v>
      </c>
      <c r="H53" s="86"/>
      <c r="N53" s="181"/>
      <c r="P53" s="20" t="str">
        <f>IFERROR(VLOOKUP($A53,Ronde1!$C$1:Q$100,4,0),"")</f>
        <v/>
      </c>
      <c r="Q53" s="20" t="str">
        <f>IFERROR(VLOOKUP($A53,Ronde2!$C$1:R$100,4,0),"")</f>
        <v/>
      </c>
      <c r="R53" s="20" t="str">
        <f>IFERROR(VLOOKUP($A53,Ronde3!$C$1:S$100,4,0),"")</f>
        <v/>
      </c>
      <c r="S53" s="20" t="str">
        <f>IFERROR(VLOOKUP($A53,Ronde4!$C$1:S$100,4,0),"")</f>
        <v/>
      </c>
      <c r="U53" s="20">
        <f t="shared" si="1"/>
        <v>0</v>
      </c>
      <c r="W53" s="20">
        <v>0</v>
      </c>
    </row>
    <row r="54" spans="1:23">
      <c r="A54" s="181">
        <f>AanwezigReserve!D54</f>
        <v>0</v>
      </c>
      <c r="E54" s="20" t="str">
        <f>IFERROR(VLOOKUP($A54,Ronde3!$C$1:$E$100,3,0),"")</f>
        <v/>
      </c>
      <c r="F54" s="20" t="str">
        <f>IFERROR(VLOOKUP($A54,Ronde4!$C$1:$E$100,3,0),"")</f>
        <v/>
      </c>
      <c r="P54" s="20" t="str">
        <f>IFERROR(VLOOKUP($A54,Ronde1!$C$1:Q$100,4,0),"")</f>
        <v/>
      </c>
      <c r="Q54" s="20" t="str">
        <f>IFERROR(VLOOKUP($A54,Ronde2!$C$1:R$100,4,0),"")</f>
        <v/>
      </c>
      <c r="R54" s="20" t="str">
        <f>IFERROR(VLOOKUP($A54,Ronde3!$C$1:S$100,4,0),"")</f>
        <v/>
      </c>
      <c r="S54" s="20" t="str">
        <f>IFERROR(VLOOKUP($A54,Ronde4!$C$1:S$100,4,0),"")</f>
        <v/>
      </c>
      <c r="U54" s="20">
        <f t="shared" si="1"/>
        <v>0</v>
      </c>
      <c r="W54" s="20">
        <v>0</v>
      </c>
    </row>
    <row r="55" spans="1:23">
      <c r="F55" s="20" t="str">
        <f>IFERROR(VLOOKUP($A55,Ronde4!$C$1:$E$100,3,0),"")</f>
        <v/>
      </c>
      <c r="U55" s="20">
        <f>SUM(U3:U49)</f>
        <v>154</v>
      </c>
    </row>
    <row r="56" spans="1:23">
      <c r="F56" s="20" t="str">
        <f>IFERROR(VLOOKUP($A56,Ronde4!$C$1:$E$100,3,0),"")</f>
        <v/>
      </c>
    </row>
    <row r="57" spans="1:23">
      <c r="F57" s="20" t="str">
        <f>IFERROR(VLOOKUP($A57,Ronde4!$C$1:$E$100,3,0),"")</f>
        <v/>
      </c>
    </row>
    <row r="58" spans="1:23">
      <c r="F58" s="20" t="str">
        <f>IFERROR(VLOOKUP($A58,Ronde4!$C$1:$E$100,3,0),"")</f>
        <v/>
      </c>
    </row>
    <row r="59" spans="1:23">
      <c r="F59" s="20" t="str">
        <f>IFERROR(VLOOKUP($A59,Ronde4!$C$1:$E$100,3,0),"")</f>
        <v/>
      </c>
    </row>
    <row r="60" spans="1:23">
      <c r="F60" s="20" t="str">
        <f>IFERROR(VLOOKUP($A60,Ronde4!$C$1:$E$100,3,0),"")</f>
        <v/>
      </c>
    </row>
    <row r="61" spans="1:23">
      <c r="F61" s="20" t="str">
        <f>IFERROR(VLOOKUP($A61,Ronde4!$C$1:$E$100,3,0),"")</f>
        <v/>
      </c>
    </row>
    <row r="62" spans="1:23">
      <c r="F62" s="20" t="str">
        <f>IFERROR(VLOOKUP($A62,Ronde4!$C$1:$E$100,3,0),"")</f>
        <v/>
      </c>
    </row>
    <row r="63" spans="1:23">
      <c r="F63" s="20" t="str">
        <f>IFERROR(VLOOKUP($A63,Ronde4!$C$1:$E$100,3,0),"")</f>
        <v/>
      </c>
    </row>
    <row r="64" spans="1:23">
      <c r="F64" s="20" t="str">
        <f>IFERROR(VLOOKUP($A64,Ronde4!$C$1:$E$100,3,0),"")</f>
        <v/>
      </c>
    </row>
    <row r="65" spans="6:6">
      <c r="F65" s="20" t="str">
        <f>IFERROR(VLOOKUP($A65,Ronde4!$C$1:$E$100,3,0),"")</f>
        <v/>
      </c>
    </row>
    <row r="66" spans="6:6">
      <c r="F66" s="20" t="str">
        <f>IFERROR(VLOOKUP($A66,Ronde4!$C$1:$E$100,3,0),"")</f>
        <v/>
      </c>
    </row>
    <row r="67" spans="6:6">
      <c r="F67" s="20" t="str">
        <f>IFERROR(VLOOKUP($A67,Ronde4!$C$1:$E$100,3,0),"")</f>
        <v/>
      </c>
    </row>
    <row r="68" spans="6:6">
      <c r="F68" s="20" t="str">
        <f>IFERROR(VLOOKUP($A68,Ronde4!$C$1:$E$100,3,0),"")</f>
        <v/>
      </c>
    </row>
    <row r="69" spans="6:6">
      <c r="F69" s="20" t="str">
        <f>IFERROR(VLOOKUP($A69,Ronde4!$C$1:$E$100,3,0),"")</f>
        <v/>
      </c>
    </row>
    <row r="70" spans="6:6">
      <c r="F70" s="20" t="str">
        <f>IFERROR(VLOOKUP($A70,Ronde4!$C$1:$E$100,3,0),"")</f>
        <v/>
      </c>
    </row>
    <row r="71" spans="6:6">
      <c r="F71" s="20" t="str">
        <f>IFERROR(VLOOKUP($A71,Ronde4!$C$1:$E$100,3,0),"")</f>
        <v/>
      </c>
    </row>
    <row r="72" spans="6:6">
      <c r="F72" s="20" t="str">
        <f>IFERROR(VLOOKUP($A72,Ronde4!$C$1:$E$100,3,0),"")</f>
        <v/>
      </c>
    </row>
    <row r="73" spans="6:6">
      <c r="F73" s="20" t="str">
        <f>IFERROR(VLOOKUP($A73,Ronde4!$C$1:$E$100,3,0),"")</f>
        <v/>
      </c>
    </row>
    <row r="74" spans="6:6">
      <c r="F74" s="20" t="str">
        <f>IFERROR(VLOOKUP($A74,Ronde4!$C$1:$E$100,3,0),"")</f>
        <v/>
      </c>
    </row>
    <row r="75" spans="6:6">
      <c r="F75" s="20" t="str">
        <f>IFERROR(VLOOKUP($A75,Ronde4!$C$1:$E$100,3,0),"")</f>
        <v/>
      </c>
    </row>
    <row r="76" spans="6:6">
      <c r="F76" s="20" t="str">
        <f>IFERROR(VLOOKUP($A76,Ronde4!$C$1:$E$100,3,0),"")</f>
        <v/>
      </c>
    </row>
    <row r="77" spans="6:6">
      <c r="F77" s="20" t="str">
        <f>IFERROR(VLOOKUP($A77,Ronde4!$C$1:$E$100,3,0),"")</f>
        <v/>
      </c>
    </row>
    <row r="78" spans="6:6">
      <c r="F78" s="20" t="str">
        <f>IFERROR(VLOOKUP($A78,Ronde4!$C$1:$E$100,3,0),"")</f>
        <v/>
      </c>
    </row>
    <row r="79" spans="6:6">
      <c r="F79" s="20" t="str">
        <f>IFERROR(VLOOKUP($A79,Ronde4!$C$1:$E$100,3,0),"")</f>
        <v/>
      </c>
    </row>
    <row r="80" spans="6:6">
      <c r="F80" s="20" t="str">
        <f>IFERROR(VLOOKUP($A80,Ronde4!$C$1:$E$100,3,0),"")</f>
        <v/>
      </c>
    </row>
    <row r="81" spans="6:6">
      <c r="F81" s="20" t="str">
        <f>IFERROR(VLOOKUP($A81,Ronde4!$C$1:$E$100,3,0),"")</f>
        <v/>
      </c>
    </row>
    <row r="82" spans="6:6">
      <c r="F82" s="20" t="str">
        <f>IFERROR(VLOOKUP($A82,Ronde4!$C$1:$E$100,3,0),"")</f>
        <v/>
      </c>
    </row>
    <row r="83" spans="6:6">
      <c r="F83" s="20" t="str">
        <f>IFERROR(VLOOKUP($A83,Ronde4!$C$1:$E$100,3,0),"")</f>
        <v/>
      </c>
    </row>
    <row r="84" spans="6:6">
      <c r="F84" s="20" t="str">
        <f>IFERROR(VLOOKUP($A84,Ronde4!$C$1:$E$100,3,0),"")</f>
        <v/>
      </c>
    </row>
    <row r="85" spans="6:6">
      <c r="F85" s="20" t="str">
        <f>IFERROR(VLOOKUP($A85,Ronde4!$C$1:$E$100,3,0),"")</f>
        <v/>
      </c>
    </row>
    <row r="86" spans="6:6">
      <c r="F86" s="20" t="str">
        <f>IFERROR(VLOOKUP($A86,Ronde4!$C$1:$E$100,3,0),"")</f>
        <v/>
      </c>
    </row>
    <row r="87" spans="6:6">
      <c r="F87" s="20" t="str">
        <f>IFERROR(VLOOKUP($A87,Ronde4!$C$1:$E$100,3,0),"")</f>
        <v/>
      </c>
    </row>
    <row r="88" spans="6:6">
      <c r="F88" s="20" t="str">
        <f>IFERROR(VLOOKUP($A88,Ronde4!$C$1:$E$100,3,0),"")</f>
        <v/>
      </c>
    </row>
    <row r="89" spans="6:6">
      <c r="F89" s="20" t="str">
        <f>IFERROR(VLOOKUP($A89,Ronde4!$C$1:$E$100,3,0),"")</f>
        <v/>
      </c>
    </row>
    <row r="90" spans="6:6">
      <c r="F90" s="20" t="str">
        <f>IFERROR(VLOOKUP($A90,Ronde4!$C$1:$E$100,3,0),"")</f>
        <v/>
      </c>
    </row>
    <row r="91" spans="6:6">
      <c r="F91" s="20" t="str">
        <f>IFERROR(VLOOKUP($A91,Ronde4!$C$1:$E$100,3,0),"")</f>
        <v/>
      </c>
    </row>
    <row r="92" spans="6:6">
      <c r="F92" s="20" t="str">
        <f>IFERROR(VLOOKUP($A92,Ronde4!$C$1:$E$100,3,0),"")</f>
        <v/>
      </c>
    </row>
    <row r="93" spans="6:6">
      <c r="F93" s="20" t="str">
        <f>IFERROR(VLOOKUP($A93,Ronde4!$C$1:$E$100,3,0),"")</f>
        <v/>
      </c>
    </row>
    <row r="94" spans="6:6">
      <c r="F94" s="20" t="str">
        <f>IFERROR(VLOOKUP($A94,Ronde4!$C$1:$E$100,3,0),"")</f>
        <v/>
      </c>
    </row>
    <row r="95" spans="6:6">
      <c r="F95" s="20" t="str">
        <f>IFERROR(VLOOKUP($A95,Ronde4!$C$1:$E$100,3,0),"")</f>
        <v/>
      </c>
    </row>
    <row r="96" spans="6:6">
      <c r="F96" s="20" t="str">
        <f>IFERROR(VLOOKUP($A96,Ronde4!$C$1:$E$100,3,0),"")</f>
        <v/>
      </c>
    </row>
    <row r="97" spans="6:6">
      <c r="F97" s="20" t="str">
        <f>IFERROR(VLOOKUP($A97,Ronde4!$C$1:$E$100,3,0),"")</f>
        <v/>
      </c>
    </row>
    <row r="98" spans="6:6">
      <c r="F98" s="20" t="str">
        <f>IFERROR(VLOOKUP($A98,Ronde4!$C$1:$E$100,3,0),"")</f>
        <v/>
      </c>
    </row>
    <row r="99" spans="6:6">
      <c r="F99" s="20" t="str">
        <f>IFERROR(VLOOKUP($A99,Ronde4!$C$1:$E$100,3,0),"")</f>
        <v/>
      </c>
    </row>
    <row r="100" spans="6:6">
      <c r="F100" s="20" t="str">
        <f>IFERROR(VLOOKUP($A100,Ronde4!$C$1:$E$100,3,0),"")</f>
        <v/>
      </c>
    </row>
  </sheetData>
  <mergeCells count="1">
    <mergeCell ref="P1:U1"/>
  </mergeCells>
  <phoneticPr fontId="30" type="noConversion"/>
  <conditionalFormatting sqref="B1:B1048576">
    <cfRule type="cellIs" dxfId="0" priority="1" operator="equal">
      <formula>"A"</formula>
    </cfRule>
  </conditionalFormatting>
  <pageMargins left="0.7" right="0.7" top="0.75" bottom="0.75" header="0.3" footer="0.3"/>
  <pageSetup paperSize="9" orientation="portrait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52716-B538-4795-B35C-0C381F841A12}">
  <sheetPr codeName="Blad12"/>
  <dimension ref="B1:Y883"/>
  <sheetViews>
    <sheetView workbookViewId="0">
      <selection activeCell="K61" sqref="K61"/>
    </sheetView>
  </sheetViews>
  <sheetFormatPr defaultColWidth="9.140625" defaultRowHeight="11.25"/>
  <cols>
    <col min="1" max="1" width="6" style="151" customWidth="1"/>
    <col min="2" max="2" width="22.7109375" style="151" customWidth="1"/>
    <col min="3" max="7" width="9.140625" style="151"/>
    <col min="8" max="8" width="10.85546875" style="151" customWidth="1"/>
    <col min="9" max="16384" width="9.140625" style="151"/>
  </cols>
  <sheetData>
    <row r="1" spans="2:25" ht="14.1" customHeight="1"/>
    <row r="2" spans="2:25" ht="14.1" customHeight="1">
      <c r="C2" s="151" t="s">
        <v>123</v>
      </c>
      <c r="D2" s="151" t="s">
        <v>36</v>
      </c>
      <c r="E2" s="151" t="s">
        <v>37</v>
      </c>
      <c r="F2" s="151" t="s">
        <v>35</v>
      </c>
      <c r="H2" s="151" t="s">
        <v>156</v>
      </c>
      <c r="J2" s="186" t="s">
        <v>157</v>
      </c>
      <c r="K2" s="187" t="s">
        <v>158</v>
      </c>
      <c r="L2" s="187" t="s">
        <v>159</v>
      </c>
      <c r="M2" s="187" t="s">
        <v>160</v>
      </c>
      <c r="N2" s="187" t="s">
        <v>161</v>
      </c>
      <c r="O2" s="187" t="s">
        <v>162</v>
      </c>
      <c r="P2" s="187" t="s">
        <v>103</v>
      </c>
      <c r="Q2" s="187" t="s">
        <v>104</v>
      </c>
      <c r="R2" s="187" t="s">
        <v>105</v>
      </c>
      <c r="S2" s="187" t="s">
        <v>106</v>
      </c>
      <c r="T2" s="187"/>
      <c r="U2" s="188" t="s">
        <v>155</v>
      </c>
    </row>
    <row r="3" spans="2:25" ht="14.1" customHeight="1">
      <c r="B3" s="152" t="str">
        <f>AanwezigReserve!D3</f>
        <v>Alfreda Fiers</v>
      </c>
      <c r="C3" s="151" t="str">
        <f>samen!P3</f>
        <v/>
      </c>
      <c r="D3" s="151" t="str">
        <f>samen!Q3</f>
        <v/>
      </c>
      <c r="E3" s="151" t="str">
        <f>samen!R3</f>
        <v/>
      </c>
      <c r="F3" s="151" t="str">
        <f>samen!S3</f>
        <v/>
      </c>
      <c r="H3" s="151">
        <f>SUM(C3:F3)</f>
        <v>0</v>
      </c>
      <c r="J3" s="189">
        <v>12</v>
      </c>
      <c r="K3" s="151">
        <v>1</v>
      </c>
      <c r="L3" s="151">
        <v>1</v>
      </c>
      <c r="O3"/>
      <c r="P3" s="151">
        <v>0</v>
      </c>
      <c r="U3" s="190">
        <f>SUM(J3:S3)</f>
        <v>14</v>
      </c>
      <c r="X3" s="151" t="s">
        <v>178</v>
      </c>
    </row>
    <row r="4" spans="2:25" ht="14.1" customHeight="1">
      <c r="B4" s="152" t="str">
        <f>AanwezigReserve!D4</f>
        <v>Brigitte Raeymaekers</v>
      </c>
      <c r="C4" s="151">
        <f>samen!P4</f>
        <v>1</v>
      </c>
      <c r="D4" s="151">
        <f>samen!Q4</f>
        <v>0</v>
      </c>
      <c r="E4" s="151">
        <f>samen!R4</f>
        <v>3</v>
      </c>
      <c r="F4" s="151">
        <f>samen!S4</f>
        <v>0</v>
      </c>
      <c r="H4" s="151">
        <f>SUM(C4:F4)</f>
        <v>4</v>
      </c>
      <c r="J4" s="189"/>
      <c r="K4" s="151">
        <v>4</v>
      </c>
      <c r="L4" s="151">
        <v>3</v>
      </c>
      <c r="O4"/>
      <c r="P4" s="151">
        <v>8</v>
      </c>
      <c r="U4" s="190">
        <f t="shared" ref="U4:U51" si="0">SUM(J4:S4)</f>
        <v>15</v>
      </c>
      <c r="X4" s="151" t="s">
        <v>179</v>
      </c>
    </row>
    <row r="5" spans="2:25" ht="14.1" customHeight="1">
      <c r="B5" s="152" t="str">
        <f>AanwezigReserve!D5</f>
        <v>Chris Cuppens</v>
      </c>
      <c r="C5" s="151">
        <f>samen!P5</f>
        <v>3</v>
      </c>
      <c r="D5" s="151">
        <f>samen!Q5</f>
        <v>1</v>
      </c>
      <c r="E5" s="151">
        <f>samen!R5</f>
        <v>0</v>
      </c>
      <c r="F5" s="151">
        <f>samen!S5</f>
        <v>3</v>
      </c>
      <c r="H5" s="151">
        <f>SUM(C5:F5)</f>
        <v>7</v>
      </c>
      <c r="J5" s="189">
        <v>5</v>
      </c>
      <c r="K5" s="151">
        <v>6</v>
      </c>
      <c r="L5" s="151">
        <v>2</v>
      </c>
      <c r="O5"/>
      <c r="P5" s="151">
        <v>2</v>
      </c>
      <c r="U5" s="190">
        <f t="shared" si="0"/>
        <v>15</v>
      </c>
      <c r="X5" s="151" t="s">
        <v>180</v>
      </c>
    </row>
    <row r="6" spans="2:25" ht="14.1" customHeight="1">
      <c r="B6" s="152" t="str">
        <f>AanwezigReserve!D6</f>
        <v>Christiane De Maesschalck</v>
      </c>
      <c r="C6" s="151">
        <f>samen!P6</f>
        <v>0</v>
      </c>
      <c r="D6" s="151">
        <f>samen!Q6</f>
        <v>3</v>
      </c>
      <c r="E6" s="151">
        <f>samen!R6</f>
        <v>1</v>
      </c>
      <c r="F6" s="151" t="str">
        <f>samen!S6</f>
        <v/>
      </c>
      <c r="H6" s="151">
        <f>SUM(C6:F6)</f>
        <v>4</v>
      </c>
      <c r="J6" s="189">
        <v>5</v>
      </c>
      <c r="K6" s="151">
        <v>8</v>
      </c>
      <c r="L6" s="151">
        <v>5</v>
      </c>
      <c r="O6"/>
      <c r="P6" s="151">
        <v>9</v>
      </c>
      <c r="U6" s="190">
        <f t="shared" si="0"/>
        <v>27</v>
      </c>
      <c r="X6" s="151" t="s">
        <v>181</v>
      </c>
    </row>
    <row r="7" spans="2:25" ht="14.1" customHeight="1">
      <c r="B7" s="152" t="str">
        <f>AanwezigReserve!D7</f>
        <v>Christiane Van der Sypt</v>
      </c>
      <c r="C7" s="151">
        <f>samen!P7</f>
        <v>0</v>
      </c>
      <c r="D7" s="151">
        <f>samen!Q7</f>
        <v>3</v>
      </c>
      <c r="E7" s="151">
        <f>samen!R7</f>
        <v>0</v>
      </c>
      <c r="F7" s="151" t="str">
        <f>samen!S7</f>
        <v/>
      </c>
      <c r="H7" s="151">
        <f t="shared" ref="H7:H49" si="1">SUM(C7:F7)</f>
        <v>3</v>
      </c>
      <c r="J7" s="189">
        <v>3</v>
      </c>
      <c r="K7" s="151">
        <v>7</v>
      </c>
      <c r="L7" s="151">
        <v>2</v>
      </c>
      <c r="O7"/>
      <c r="P7" s="151">
        <v>10</v>
      </c>
      <c r="U7" s="190">
        <f t="shared" si="0"/>
        <v>22</v>
      </c>
      <c r="X7" s="151" t="s">
        <v>182</v>
      </c>
    </row>
    <row r="8" spans="2:25" ht="14.1" customHeight="1">
      <c r="B8" s="152" t="str">
        <f>AanwezigReserve!D8</f>
        <v>Daniel Bogaert</v>
      </c>
      <c r="C8" s="151">
        <f>samen!P8</f>
        <v>2</v>
      </c>
      <c r="D8" s="151">
        <f>samen!Q8</f>
        <v>11</v>
      </c>
      <c r="E8" s="151">
        <f>samen!R8</f>
        <v>1</v>
      </c>
      <c r="F8" s="151">
        <f>samen!S8</f>
        <v>0</v>
      </c>
      <c r="H8" s="151">
        <f t="shared" si="1"/>
        <v>14</v>
      </c>
      <c r="J8" s="189">
        <v>2</v>
      </c>
      <c r="K8" s="151">
        <v>4</v>
      </c>
      <c r="L8" s="151">
        <v>2</v>
      </c>
      <c r="O8"/>
      <c r="P8" s="151">
        <v>11</v>
      </c>
      <c r="U8" s="190">
        <f t="shared" si="0"/>
        <v>19</v>
      </c>
      <c r="X8" s="151" t="s">
        <v>183</v>
      </c>
    </row>
    <row r="9" spans="2:25" ht="14.1" customHeight="1">
      <c r="B9" s="152" t="str">
        <f>AanwezigReserve!D9</f>
        <v>Daniella Vanhalewyn</v>
      </c>
      <c r="C9" s="151">
        <f>samen!P9</f>
        <v>1</v>
      </c>
      <c r="D9" s="151">
        <f>samen!Q9</f>
        <v>5</v>
      </c>
      <c r="E9" s="151">
        <f>samen!R9</f>
        <v>3</v>
      </c>
      <c r="F9" s="151">
        <f>samen!S9</f>
        <v>0</v>
      </c>
      <c r="H9" s="151">
        <f t="shared" si="1"/>
        <v>9</v>
      </c>
      <c r="J9" s="189">
        <v>5</v>
      </c>
      <c r="K9" s="151">
        <v>3</v>
      </c>
      <c r="L9" s="151">
        <v>7</v>
      </c>
      <c r="O9"/>
      <c r="P9" s="151">
        <v>3</v>
      </c>
      <c r="U9" s="190">
        <f t="shared" si="0"/>
        <v>18</v>
      </c>
      <c r="X9" s="151" t="s">
        <v>184</v>
      </c>
    </row>
    <row r="10" spans="2:25" ht="14.1" customHeight="1">
      <c r="B10" s="152" t="str">
        <f>AanwezigReserve!D10</f>
        <v>Dirk De Brabander</v>
      </c>
      <c r="C10" s="151">
        <f>samen!P10</f>
        <v>3</v>
      </c>
      <c r="D10" s="151">
        <f>samen!Q10</f>
        <v>0</v>
      </c>
      <c r="E10" s="151">
        <f>samen!R10</f>
        <v>0</v>
      </c>
      <c r="F10" s="151" t="str">
        <f>samen!S10</f>
        <v/>
      </c>
      <c r="H10" s="151">
        <f t="shared" si="1"/>
        <v>3</v>
      </c>
      <c r="J10" s="189">
        <v>6</v>
      </c>
      <c r="K10" s="151">
        <v>1</v>
      </c>
      <c r="L10" s="151">
        <v>0</v>
      </c>
      <c r="O10"/>
      <c r="P10" s="151">
        <v>12</v>
      </c>
      <c r="U10" s="190">
        <f t="shared" si="0"/>
        <v>19</v>
      </c>
      <c r="X10" s="151" t="s">
        <v>185</v>
      </c>
    </row>
    <row r="11" spans="2:25" ht="14.1" customHeight="1">
      <c r="B11" s="152" t="str">
        <f>AanwezigReserve!D11</f>
        <v>Dirk Desante</v>
      </c>
      <c r="C11" s="151">
        <f>samen!P11</f>
        <v>3</v>
      </c>
      <c r="D11" s="151">
        <f>samen!Q11</f>
        <v>0</v>
      </c>
      <c r="E11" s="151">
        <f>samen!R11</f>
        <v>0</v>
      </c>
      <c r="F11" s="151" t="str">
        <f>samen!S11</f>
        <v/>
      </c>
      <c r="H11" s="151">
        <f t="shared" si="1"/>
        <v>3</v>
      </c>
      <c r="J11" s="189">
        <v>5</v>
      </c>
      <c r="K11" s="151">
        <v>7</v>
      </c>
      <c r="L11" s="151">
        <v>8</v>
      </c>
      <c r="O11"/>
      <c r="P11" s="151">
        <v>12</v>
      </c>
      <c r="U11" s="190">
        <f t="shared" si="0"/>
        <v>32</v>
      </c>
      <c r="X11" s="151" t="s">
        <v>186</v>
      </c>
    </row>
    <row r="12" spans="2:25" ht="14.1" customHeight="1">
      <c r="B12" s="152" t="str">
        <f>AanwezigReserve!D12</f>
        <v>Etienne Saveyn</v>
      </c>
      <c r="C12" s="151">
        <f>samen!P12</f>
        <v>5</v>
      </c>
      <c r="D12" s="151">
        <f>samen!Q12</f>
        <v>1</v>
      </c>
      <c r="E12" s="151">
        <f>samen!R12</f>
        <v>1</v>
      </c>
      <c r="F12" s="151" t="str">
        <f>samen!S12</f>
        <v/>
      </c>
      <c r="H12" s="151">
        <f t="shared" si="1"/>
        <v>7</v>
      </c>
      <c r="J12" s="189">
        <v>5</v>
      </c>
      <c r="K12" s="151">
        <v>5</v>
      </c>
      <c r="L12" s="151">
        <v>3</v>
      </c>
      <c r="O12"/>
      <c r="P12" s="151">
        <v>2</v>
      </c>
      <c r="U12" s="190">
        <f t="shared" si="0"/>
        <v>15</v>
      </c>
      <c r="X12" s="151" t="s">
        <v>187</v>
      </c>
    </row>
    <row r="13" spans="2:25" ht="14.1" customHeight="1">
      <c r="B13" s="152" t="str">
        <f>AanwezigReserve!D13</f>
        <v>Filip Dejans</v>
      </c>
      <c r="C13" s="151">
        <f>samen!P13</f>
        <v>0</v>
      </c>
      <c r="D13" s="151">
        <f>samen!Q13</f>
        <v>1</v>
      </c>
      <c r="E13" s="151">
        <f>samen!R13</f>
        <v>2</v>
      </c>
      <c r="F13" s="151" t="str">
        <f>samen!S13</f>
        <v/>
      </c>
      <c r="H13" s="151">
        <f t="shared" si="1"/>
        <v>3</v>
      </c>
      <c r="J13" s="189"/>
      <c r="K13" s="151">
        <v>0</v>
      </c>
      <c r="L13" s="151">
        <v>6</v>
      </c>
      <c r="O13"/>
      <c r="P13" s="151">
        <v>7</v>
      </c>
      <c r="U13" s="190">
        <f t="shared" si="0"/>
        <v>13</v>
      </c>
      <c r="X13" s="151" t="s">
        <v>188</v>
      </c>
      <c r="Y13" s="191"/>
    </row>
    <row r="14" spans="2:25" ht="14.1" customHeight="1">
      <c r="B14" s="152" t="str">
        <f>AanwezigReserve!D14</f>
        <v>Francine Thienpont</v>
      </c>
      <c r="C14" s="151">
        <f>samen!P14</f>
        <v>7</v>
      </c>
      <c r="D14" s="151">
        <f>samen!Q14</f>
        <v>0</v>
      </c>
      <c r="E14" s="151">
        <f>samen!R14</f>
        <v>4</v>
      </c>
      <c r="F14" s="151" t="str">
        <f>samen!S14</f>
        <v/>
      </c>
      <c r="H14" s="151">
        <f t="shared" si="1"/>
        <v>11</v>
      </c>
      <c r="J14" s="189">
        <v>4</v>
      </c>
      <c r="K14" s="151">
        <v>0</v>
      </c>
      <c r="L14" s="151">
        <v>0</v>
      </c>
      <c r="O14"/>
      <c r="P14" s="151">
        <v>4</v>
      </c>
      <c r="U14" s="190">
        <f t="shared" si="0"/>
        <v>8</v>
      </c>
      <c r="X14" s="151" t="s">
        <v>189</v>
      </c>
    </row>
    <row r="15" spans="2:25" ht="14.1" customHeight="1">
      <c r="B15" s="152" t="str">
        <f>AanwezigReserve!D15</f>
        <v>Frans Catteeuw</v>
      </c>
      <c r="C15" s="151" t="str">
        <f>samen!P15</f>
        <v/>
      </c>
      <c r="D15" s="151" t="str">
        <f>samen!Q15</f>
        <v/>
      </c>
      <c r="E15" s="151" t="str">
        <f>samen!R15</f>
        <v/>
      </c>
      <c r="F15" s="151" t="str">
        <f>samen!S15</f>
        <v/>
      </c>
      <c r="H15" s="151">
        <f t="shared" si="1"/>
        <v>0</v>
      </c>
      <c r="J15" s="189"/>
      <c r="K15" s="151">
        <v>0</v>
      </c>
      <c r="L15" s="151">
        <v>6</v>
      </c>
      <c r="O15"/>
      <c r="P15" s="151">
        <v>1</v>
      </c>
      <c r="U15" s="190">
        <f t="shared" si="0"/>
        <v>7</v>
      </c>
      <c r="X15" s="151" t="s">
        <v>190</v>
      </c>
    </row>
    <row r="16" spans="2:25" ht="14.1" customHeight="1">
      <c r="B16" s="152" t="str">
        <f>AanwezigReserve!D16</f>
        <v>Freddy Moerman</v>
      </c>
      <c r="C16" s="151">
        <f>samen!P16</f>
        <v>1</v>
      </c>
      <c r="D16" s="151">
        <f>samen!Q16</f>
        <v>2</v>
      </c>
      <c r="E16" s="151">
        <f>samen!R16</f>
        <v>0</v>
      </c>
      <c r="F16" s="151">
        <f>samen!S16</f>
        <v>2</v>
      </c>
      <c r="H16" s="151">
        <f>SUM(C16:F16)</f>
        <v>5</v>
      </c>
      <c r="J16" s="189">
        <v>1</v>
      </c>
      <c r="K16" s="151">
        <v>3</v>
      </c>
      <c r="L16" s="151">
        <v>0</v>
      </c>
      <c r="O16"/>
      <c r="P16" s="151">
        <v>14</v>
      </c>
      <c r="U16" s="190">
        <f t="shared" si="0"/>
        <v>18</v>
      </c>
      <c r="X16" s="151" t="s">
        <v>191</v>
      </c>
    </row>
    <row r="17" spans="2:24" ht="14.1" customHeight="1">
      <c r="B17" s="152" t="str">
        <f>AanwezigReserve!D17</f>
        <v>Georges Tollenaere</v>
      </c>
      <c r="C17" s="151" t="str">
        <f>samen!P17</f>
        <v/>
      </c>
      <c r="D17" s="151" t="str">
        <f>samen!Q17</f>
        <v/>
      </c>
      <c r="E17" s="151" t="str">
        <f>samen!R17</f>
        <v/>
      </c>
      <c r="F17" s="151" t="str">
        <f>samen!S17</f>
        <v/>
      </c>
      <c r="H17" s="151">
        <f t="shared" si="1"/>
        <v>0</v>
      </c>
      <c r="J17" s="189">
        <v>5</v>
      </c>
      <c r="K17" s="151">
        <v>0</v>
      </c>
      <c r="L17" s="151">
        <v>9</v>
      </c>
      <c r="O17"/>
      <c r="P17" s="151">
        <v>12</v>
      </c>
      <c r="U17" s="190">
        <f t="shared" si="0"/>
        <v>26</v>
      </c>
      <c r="X17" s="151" t="s">
        <v>192</v>
      </c>
    </row>
    <row r="18" spans="2:24" ht="14.1" customHeight="1">
      <c r="B18" s="152" t="str">
        <f>AanwezigReserve!D18</f>
        <v>Gina Van Den Bossche</v>
      </c>
      <c r="C18" s="151">
        <f>samen!P18</f>
        <v>0</v>
      </c>
      <c r="D18" s="151">
        <f>samen!Q18</f>
        <v>0</v>
      </c>
      <c r="E18" s="151">
        <f>samen!R18</f>
        <v>0</v>
      </c>
      <c r="F18" s="151" t="str">
        <f>samen!S18</f>
        <v/>
      </c>
      <c r="H18" s="151">
        <f t="shared" si="1"/>
        <v>0</v>
      </c>
      <c r="J18" s="189">
        <v>6</v>
      </c>
      <c r="K18" s="151">
        <v>0</v>
      </c>
      <c r="L18" s="151">
        <v>1</v>
      </c>
      <c r="O18"/>
      <c r="P18" s="151">
        <v>0</v>
      </c>
      <c r="U18" s="190">
        <f t="shared" si="0"/>
        <v>7</v>
      </c>
      <c r="X18" s="151" t="s">
        <v>193</v>
      </c>
    </row>
    <row r="19" spans="2:24" ht="14.1" customHeight="1">
      <c r="B19" s="152" t="str">
        <f>AanwezigReserve!D19</f>
        <v>Herman Buysse</v>
      </c>
      <c r="C19" s="151">
        <f>samen!P19</f>
        <v>1</v>
      </c>
      <c r="D19" s="151">
        <f>samen!Q19</f>
        <v>1</v>
      </c>
      <c r="E19" s="151">
        <f>samen!R19</f>
        <v>0</v>
      </c>
      <c r="F19" s="151" t="str">
        <f>samen!S19</f>
        <v/>
      </c>
      <c r="H19" s="151">
        <f t="shared" si="1"/>
        <v>2</v>
      </c>
      <c r="J19" s="189">
        <v>1</v>
      </c>
      <c r="K19" s="151">
        <v>5</v>
      </c>
      <c r="L19" s="151">
        <v>2</v>
      </c>
      <c r="O19"/>
      <c r="P19" s="151">
        <v>9</v>
      </c>
      <c r="U19" s="190">
        <f t="shared" si="0"/>
        <v>17</v>
      </c>
      <c r="X19" s="151" t="s">
        <v>194</v>
      </c>
    </row>
    <row r="20" spans="2:24" ht="14.1" customHeight="1">
      <c r="B20" s="152" t="str">
        <f>AanwezigReserve!D20</f>
        <v>Hubert Verplaetse</v>
      </c>
      <c r="C20" s="151">
        <f>samen!P20</f>
        <v>1</v>
      </c>
      <c r="D20" s="151">
        <f>samen!Q20</f>
        <v>0</v>
      </c>
      <c r="E20" s="151">
        <f>samen!R20</f>
        <v>3</v>
      </c>
      <c r="F20" s="151">
        <f>samen!S20</f>
        <v>0</v>
      </c>
      <c r="H20" s="151">
        <f t="shared" si="1"/>
        <v>4</v>
      </c>
      <c r="J20" s="189">
        <v>3</v>
      </c>
      <c r="K20" s="151">
        <v>3</v>
      </c>
      <c r="L20" s="151">
        <v>3</v>
      </c>
      <c r="O20"/>
      <c r="P20" s="151">
        <v>0</v>
      </c>
      <c r="U20" s="190">
        <f t="shared" si="0"/>
        <v>9</v>
      </c>
      <c r="X20" s="151" t="s">
        <v>195</v>
      </c>
    </row>
    <row r="21" spans="2:24" ht="14.1" customHeight="1">
      <c r="B21" s="152" t="str">
        <f>AanwezigReserve!D21</f>
        <v>Ivan Scheir</v>
      </c>
      <c r="C21" s="151">
        <f>samen!P21</f>
        <v>1</v>
      </c>
      <c r="D21" s="151">
        <f>samen!Q21</f>
        <v>0</v>
      </c>
      <c r="E21" s="151">
        <f>samen!R21</f>
        <v>3</v>
      </c>
      <c r="F21" s="151">
        <f>samen!S21</f>
        <v>2</v>
      </c>
      <c r="H21" s="151">
        <f t="shared" si="1"/>
        <v>6</v>
      </c>
      <c r="J21" s="189">
        <v>7</v>
      </c>
      <c r="K21" s="151">
        <v>7</v>
      </c>
      <c r="L21" s="151">
        <v>1</v>
      </c>
      <c r="O21"/>
      <c r="P21" s="151">
        <v>6</v>
      </c>
      <c r="U21" s="190">
        <f t="shared" si="0"/>
        <v>21</v>
      </c>
      <c r="X21" s="151" t="s">
        <v>196</v>
      </c>
    </row>
    <row r="22" spans="2:24" ht="14.1" customHeight="1">
      <c r="B22" s="152" t="str">
        <f>AanwezigReserve!D22</f>
        <v>Jacqueline Geubels</v>
      </c>
      <c r="C22" s="151">
        <f>samen!P22</f>
        <v>2</v>
      </c>
      <c r="D22" s="151">
        <f>samen!Q22</f>
        <v>3</v>
      </c>
      <c r="E22" s="151">
        <f>samen!R22</f>
        <v>1</v>
      </c>
      <c r="F22" s="151">
        <f>samen!S22</f>
        <v>3</v>
      </c>
      <c r="H22" s="151">
        <f>SUM(C22:F22)</f>
        <v>9</v>
      </c>
      <c r="J22" s="189">
        <v>4</v>
      </c>
      <c r="K22" s="151">
        <v>0</v>
      </c>
      <c r="L22" s="151">
        <v>3</v>
      </c>
      <c r="O22"/>
      <c r="P22" s="151">
        <v>3</v>
      </c>
      <c r="U22" s="190">
        <f t="shared" si="0"/>
        <v>10</v>
      </c>
      <c r="X22" s="151" t="s">
        <v>197</v>
      </c>
    </row>
    <row r="23" spans="2:24" ht="14.1" customHeight="1">
      <c r="B23" s="152" t="str">
        <f>AanwezigReserve!D23</f>
        <v>Jacques De Meester</v>
      </c>
      <c r="C23" s="151">
        <f>samen!P23</f>
        <v>0</v>
      </c>
      <c r="D23" s="151">
        <f>samen!Q23</f>
        <v>1</v>
      </c>
      <c r="E23" s="151">
        <f>samen!R23</f>
        <v>1</v>
      </c>
      <c r="F23" s="151">
        <f>samen!S23</f>
        <v>0</v>
      </c>
      <c r="H23" s="151">
        <f t="shared" si="1"/>
        <v>2</v>
      </c>
      <c r="J23" s="189">
        <v>5</v>
      </c>
      <c r="K23" s="151">
        <v>4</v>
      </c>
      <c r="L23" s="151">
        <v>1</v>
      </c>
      <c r="O23"/>
      <c r="P23" s="151">
        <v>10</v>
      </c>
      <c r="U23" s="190">
        <f t="shared" si="0"/>
        <v>20</v>
      </c>
      <c r="X23" s="151" t="s">
        <v>198</v>
      </c>
    </row>
    <row r="24" spans="2:24" ht="14.1" customHeight="1">
      <c r="B24" s="152" t="str">
        <f>AanwezigReserve!D24</f>
        <v>JeanM. Van Veirdeghem</v>
      </c>
      <c r="C24" s="151">
        <f>samen!P24</f>
        <v>3</v>
      </c>
      <c r="D24" s="151">
        <f>samen!Q24</f>
        <v>3</v>
      </c>
      <c r="E24" s="151">
        <f>samen!R24</f>
        <v>0</v>
      </c>
      <c r="F24" s="151" t="str">
        <f>samen!S24</f>
        <v/>
      </c>
      <c r="H24" s="151">
        <f t="shared" si="1"/>
        <v>6</v>
      </c>
      <c r="J24" s="189">
        <v>2</v>
      </c>
      <c r="K24" s="151">
        <v>3</v>
      </c>
      <c r="L24" s="151">
        <v>6</v>
      </c>
      <c r="O24"/>
      <c r="P24" s="151">
        <v>11</v>
      </c>
      <c r="U24" s="190">
        <f t="shared" si="0"/>
        <v>22</v>
      </c>
      <c r="X24" s="151" t="s">
        <v>199</v>
      </c>
    </row>
    <row r="25" spans="2:24" ht="14.25" customHeight="1">
      <c r="B25" s="152" t="str">
        <f>AanwezigReserve!D25</f>
        <v>Jeroom Van Severen</v>
      </c>
      <c r="C25" s="151">
        <f>samen!P25</f>
        <v>3</v>
      </c>
      <c r="D25" s="151">
        <f>samen!Q25</f>
        <v>1</v>
      </c>
      <c r="E25" s="151">
        <f>samen!R25</f>
        <v>0</v>
      </c>
      <c r="F25" s="151">
        <f>samen!S25</f>
        <v>1</v>
      </c>
      <c r="H25" s="151">
        <f t="shared" si="1"/>
        <v>5</v>
      </c>
      <c r="J25" s="189">
        <v>3</v>
      </c>
      <c r="K25" s="151">
        <v>4</v>
      </c>
      <c r="L25" s="151">
        <v>3</v>
      </c>
      <c r="O25"/>
      <c r="P25" s="151">
        <v>6</v>
      </c>
      <c r="U25" s="190">
        <f t="shared" si="0"/>
        <v>16</v>
      </c>
      <c r="X25" s="151" t="s">
        <v>200</v>
      </c>
    </row>
    <row r="26" spans="2:24" ht="14.1" customHeight="1">
      <c r="B26" s="152" t="str">
        <f>AanwezigReserve!D26</f>
        <v>Johan Saey</v>
      </c>
      <c r="C26" s="151" t="str">
        <f>samen!P26</f>
        <v/>
      </c>
      <c r="D26" s="151" t="str">
        <f>samen!Q26</f>
        <v/>
      </c>
      <c r="E26" s="151" t="str">
        <f>samen!R26</f>
        <v/>
      </c>
      <c r="F26" s="151" t="str">
        <f>samen!S26</f>
        <v/>
      </c>
      <c r="H26" s="151">
        <f t="shared" si="1"/>
        <v>0</v>
      </c>
      <c r="J26" s="189"/>
      <c r="K26" s="151">
        <v>0</v>
      </c>
      <c r="L26" s="151">
        <v>0</v>
      </c>
      <c r="O26"/>
      <c r="P26" s="151">
        <v>0</v>
      </c>
      <c r="U26" s="190">
        <f t="shared" si="0"/>
        <v>0</v>
      </c>
      <c r="X26" s="151" t="s">
        <v>201</v>
      </c>
    </row>
    <row r="27" spans="2:24" ht="14.1" customHeight="1">
      <c r="B27" s="152" t="str">
        <f>AanwezigReserve!D27</f>
        <v>Jozef Van Landeghem</v>
      </c>
      <c r="C27" s="151">
        <f>samen!P27</f>
        <v>0</v>
      </c>
      <c r="D27" s="151">
        <f>samen!Q27</f>
        <v>0</v>
      </c>
      <c r="E27" s="151">
        <f>samen!R27</f>
        <v>0</v>
      </c>
      <c r="F27" s="151">
        <f>samen!S27</f>
        <v>0</v>
      </c>
      <c r="H27" s="151">
        <f t="shared" ref="H27:H35" si="2">SUM(C27:F27)</f>
        <v>0</v>
      </c>
      <c r="J27" s="189">
        <v>4</v>
      </c>
      <c r="K27" s="151">
        <v>0</v>
      </c>
      <c r="L27" s="151">
        <v>5</v>
      </c>
      <c r="O27"/>
      <c r="P27" s="151">
        <v>7</v>
      </c>
      <c r="U27" s="190">
        <f t="shared" si="0"/>
        <v>16</v>
      </c>
      <c r="X27" s="151" t="s">
        <v>202</v>
      </c>
    </row>
    <row r="28" spans="2:24" ht="14.1" customHeight="1">
      <c r="B28" s="152" t="str">
        <f>AanwezigReserve!D28</f>
        <v>Julien Herrebaut</v>
      </c>
      <c r="C28" s="151">
        <f>samen!P28</f>
        <v>4</v>
      </c>
      <c r="D28" s="151">
        <f>samen!Q28</f>
        <v>1</v>
      </c>
      <c r="E28" s="151">
        <f>samen!R28</f>
        <v>0</v>
      </c>
      <c r="F28" s="151" t="str">
        <f>samen!S28</f>
        <v/>
      </c>
      <c r="H28" s="151">
        <f t="shared" si="2"/>
        <v>5</v>
      </c>
      <c r="J28" s="189">
        <v>4</v>
      </c>
      <c r="K28" s="151">
        <v>3</v>
      </c>
      <c r="L28" s="151">
        <v>0</v>
      </c>
      <c r="O28"/>
      <c r="P28" s="151">
        <v>6</v>
      </c>
      <c r="U28" s="190">
        <f t="shared" si="0"/>
        <v>13</v>
      </c>
      <c r="X28" s="151" t="s">
        <v>203</v>
      </c>
    </row>
    <row r="29" spans="2:24" ht="14.1" customHeight="1">
      <c r="B29" s="152" t="str">
        <f>AanwezigReserve!D29</f>
        <v>Lucien Van Peteghem</v>
      </c>
      <c r="C29" s="151">
        <f>samen!P29</f>
        <v>0</v>
      </c>
      <c r="D29" s="151">
        <f>samen!Q29</f>
        <v>0</v>
      </c>
      <c r="E29" s="151">
        <f>samen!R29</f>
        <v>1</v>
      </c>
      <c r="F29" s="151">
        <f>samen!S29</f>
        <v>0</v>
      </c>
      <c r="H29" s="151">
        <f t="shared" si="2"/>
        <v>1</v>
      </c>
      <c r="J29" s="189">
        <v>5</v>
      </c>
      <c r="K29" s="151">
        <v>1</v>
      </c>
      <c r="L29" s="151">
        <v>0</v>
      </c>
      <c r="O29"/>
      <c r="P29" s="151">
        <v>10</v>
      </c>
      <c r="U29" s="190">
        <f t="shared" si="0"/>
        <v>16</v>
      </c>
      <c r="X29" s="151" t="s">
        <v>204</v>
      </c>
    </row>
    <row r="30" spans="2:24" ht="14.1" customHeight="1">
      <c r="B30" s="152" t="str">
        <f>AanwezigReserve!D30</f>
        <v>Lutgarde Vanderhaegen</v>
      </c>
      <c r="C30" s="151">
        <f>samen!P30</f>
        <v>1</v>
      </c>
      <c r="D30" s="151">
        <f>samen!Q30</f>
        <v>0</v>
      </c>
      <c r="E30" s="151">
        <f>samen!R30</f>
        <v>2</v>
      </c>
      <c r="F30" s="151" t="str">
        <f>samen!S30</f>
        <v/>
      </c>
      <c r="H30" s="151">
        <f t="shared" si="2"/>
        <v>3</v>
      </c>
      <c r="J30" s="189"/>
      <c r="K30" s="151">
        <v>0</v>
      </c>
      <c r="L30" s="151">
        <v>0</v>
      </c>
      <c r="O30"/>
      <c r="P30" s="151">
        <v>3</v>
      </c>
      <c r="U30" s="190">
        <f t="shared" si="0"/>
        <v>3</v>
      </c>
      <c r="X30" s="151" t="s">
        <v>205</v>
      </c>
    </row>
    <row r="31" spans="2:24" ht="14.1" customHeight="1">
      <c r="B31" s="152" t="str">
        <f>AanwezigReserve!D31</f>
        <v>Lydie Ysveld</v>
      </c>
      <c r="C31" s="151" t="str">
        <f>samen!P31</f>
        <v/>
      </c>
      <c r="D31" s="151" t="str">
        <f>samen!Q31</f>
        <v/>
      </c>
      <c r="E31" s="151" t="str">
        <f>samen!R31</f>
        <v/>
      </c>
      <c r="F31" s="151" t="str">
        <f>samen!S31</f>
        <v/>
      </c>
      <c r="H31" s="151">
        <f t="shared" si="2"/>
        <v>0</v>
      </c>
      <c r="J31" s="189">
        <v>2</v>
      </c>
      <c r="K31" s="151">
        <v>0</v>
      </c>
      <c r="L31" s="151">
        <v>4</v>
      </c>
      <c r="O31"/>
      <c r="P31" s="151">
        <v>0</v>
      </c>
      <c r="U31" s="190">
        <f t="shared" si="0"/>
        <v>6</v>
      </c>
      <c r="X31" s="151" t="s">
        <v>206</v>
      </c>
    </row>
    <row r="32" spans="2:24" ht="14.1" customHeight="1">
      <c r="B32" s="152" t="str">
        <f>AanwezigReserve!D32</f>
        <v>Marc Ediers</v>
      </c>
      <c r="C32" s="151">
        <f>samen!P32</f>
        <v>0</v>
      </c>
      <c r="D32" s="151">
        <f>samen!Q32</f>
        <v>0</v>
      </c>
      <c r="E32" s="151">
        <f>samen!R32</f>
        <v>0</v>
      </c>
      <c r="F32" s="151">
        <f>samen!S32</f>
        <v>0</v>
      </c>
      <c r="H32" s="151">
        <f t="shared" si="2"/>
        <v>0</v>
      </c>
      <c r="J32" s="189">
        <v>3</v>
      </c>
      <c r="K32" s="151">
        <v>7</v>
      </c>
      <c r="L32" s="151">
        <v>5</v>
      </c>
      <c r="O32"/>
      <c r="P32" s="151">
        <v>6</v>
      </c>
      <c r="U32" s="190">
        <f t="shared" si="0"/>
        <v>21</v>
      </c>
      <c r="X32" s="151" t="s">
        <v>207</v>
      </c>
    </row>
    <row r="33" spans="2:24" ht="14.1" customHeight="1">
      <c r="B33" s="152" t="str">
        <f>AanwezigReserve!D33</f>
        <v>Marguerite Van Hende</v>
      </c>
      <c r="C33" s="151">
        <f>samen!P33</f>
        <v>0</v>
      </c>
      <c r="D33" s="151">
        <f>samen!Q33</f>
        <v>7</v>
      </c>
      <c r="E33" s="151">
        <f>samen!R33</f>
        <v>1</v>
      </c>
      <c r="F33" s="151" t="str">
        <f>samen!S33</f>
        <v/>
      </c>
      <c r="H33" s="151">
        <f t="shared" si="2"/>
        <v>8</v>
      </c>
      <c r="J33" s="189">
        <v>3</v>
      </c>
      <c r="K33" s="151">
        <v>0</v>
      </c>
      <c r="L33" s="151">
        <v>3</v>
      </c>
      <c r="O33"/>
      <c r="P33" s="151">
        <v>9</v>
      </c>
      <c r="U33" s="190">
        <f t="shared" si="0"/>
        <v>15</v>
      </c>
      <c r="X33" s="151" t="s">
        <v>208</v>
      </c>
    </row>
    <row r="34" spans="2:24" ht="14.1" customHeight="1">
      <c r="B34" s="152" t="str">
        <f>AanwezigReserve!D34</f>
        <v>Marleen Denert</v>
      </c>
      <c r="C34" s="151" t="str">
        <f>samen!P34</f>
        <v/>
      </c>
      <c r="D34" s="151" t="str">
        <f>samen!Q34</f>
        <v/>
      </c>
      <c r="E34" s="151" t="str">
        <f>samen!R34</f>
        <v/>
      </c>
      <c r="F34" s="151" t="str">
        <f>samen!S34</f>
        <v/>
      </c>
      <c r="H34" s="151">
        <f t="shared" si="2"/>
        <v>0</v>
      </c>
      <c r="J34" s="189"/>
      <c r="K34" s="151">
        <v>0</v>
      </c>
      <c r="L34" s="151">
        <v>5</v>
      </c>
      <c r="O34"/>
      <c r="P34" s="151">
        <v>4</v>
      </c>
      <c r="U34" s="190">
        <f t="shared" si="0"/>
        <v>9</v>
      </c>
      <c r="X34" s="151" t="s">
        <v>209</v>
      </c>
    </row>
    <row r="35" spans="2:24" ht="14.1" customHeight="1">
      <c r="B35" s="152" t="str">
        <f>AanwezigReserve!D35</f>
        <v>Michel Van Laere</v>
      </c>
      <c r="C35" s="151">
        <f>samen!P35</f>
        <v>0</v>
      </c>
      <c r="D35" s="151">
        <f>samen!Q35</f>
        <v>0</v>
      </c>
      <c r="E35" s="151">
        <f>samen!R35</f>
        <v>0</v>
      </c>
      <c r="F35" s="151" t="str">
        <f>samen!S35</f>
        <v/>
      </c>
      <c r="H35" s="151">
        <f t="shared" si="2"/>
        <v>0</v>
      </c>
      <c r="J35" s="189"/>
      <c r="K35" s="151">
        <v>13</v>
      </c>
      <c r="L35" s="151">
        <v>0</v>
      </c>
      <c r="O35"/>
      <c r="P35" s="151">
        <v>4</v>
      </c>
      <c r="U35" s="190">
        <f t="shared" si="0"/>
        <v>17</v>
      </c>
      <c r="X35" s="151" t="s">
        <v>210</v>
      </c>
    </row>
    <row r="36" spans="2:24" ht="14.1" customHeight="1">
      <c r="B36" s="152" t="str">
        <f>AanwezigReserve!D36</f>
        <v>Nestor Meirte</v>
      </c>
      <c r="C36" s="151">
        <f>samen!P36</f>
        <v>2</v>
      </c>
      <c r="D36" s="151">
        <f>samen!Q36</f>
        <v>0</v>
      </c>
      <c r="E36" s="151">
        <f>samen!R36</f>
        <v>0</v>
      </c>
      <c r="F36" s="151" t="str">
        <f>samen!S36</f>
        <v/>
      </c>
      <c r="H36" s="151">
        <f t="shared" si="1"/>
        <v>2</v>
      </c>
      <c r="J36" s="189">
        <v>2</v>
      </c>
      <c r="K36" s="151">
        <v>0</v>
      </c>
      <c r="L36" s="151">
        <v>4</v>
      </c>
      <c r="O36"/>
      <c r="P36" s="151">
        <v>2</v>
      </c>
      <c r="U36" s="190">
        <f t="shared" si="0"/>
        <v>8</v>
      </c>
      <c r="X36" s="151" t="s">
        <v>211</v>
      </c>
    </row>
    <row r="37" spans="2:24" ht="14.1" customHeight="1">
      <c r="B37" s="152" t="str">
        <f>AanwezigReserve!D37</f>
        <v>Patrick Geys</v>
      </c>
      <c r="C37" s="151" t="str">
        <f>samen!P37</f>
        <v/>
      </c>
      <c r="D37" s="151" t="str">
        <f>samen!Q37</f>
        <v/>
      </c>
      <c r="E37" s="151" t="str">
        <f>samen!R37</f>
        <v/>
      </c>
      <c r="F37" s="151" t="str">
        <f>samen!S37</f>
        <v/>
      </c>
      <c r="H37" s="151">
        <f t="shared" si="1"/>
        <v>0</v>
      </c>
      <c r="J37" s="189">
        <v>3</v>
      </c>
      <c r="K37" s="151">
        <v>0</v>
      </c>
      <c r="L37" s="151">
        <v>4</v>
      </c>
      <c r="O37"/>
      <c r="P37" s="151">
        <v>7</v>
      </c>
      <c r="U37" s="190">
        <f t="shared" si="0"/>
        <v>14</v>
      </c>
      <c r="X37" s="151" t="s">
        <v>212</v>
      </c>
    </row>
    <row r="38" spans="2:24" ht="14.1" customHeight="1">
      <c r="B38" s="152" t="str">
        <f>AanwezigReserve!D38</f>
        <v>Patrick Vande Kerckhove</v>
      </c>
      <c r="C38" s="151" t="str">
        <f>samen!P38</f>
        <v/>
      </c>
      <c r="D38" s="151" t="str">
        <f>samen!Q38</f>
        <v/>
      </c>
      <c r="E38" s="151" t="str">
        <f>samen!R38</f>
        <v/>
      </c>
      <c r="F38" s="151" t="str">
        <f>samen!S38</f>
        <v/>
      </c>
      <c r="H38" s="151">
        <f t="shared" si="1"/>
        <v>0</v>
      </c>
      <c r="J38" s="189">
        <v>5</v>
      </c>
      <c r="K38" s="151">
        <v>1</v>
      </c>
      <c r="L38" s="151">
        <v>0</v>
      </c>
      <c r="O38"/>
      <c r="P38" s="151">
        <v>0</v>
      </c>
      <c r="U38" s="190">
        <f t="shared" si="0"/>
        <v>6</v>
      </c>
      <c r="X38" s="151" t="s">
        <v>213</v>
      </c>
    </row>
    <row r="39" spans="2:24" ht="14.1" customHeight="1">
      <c r="B39" s="152" t="str">
        <f>AanwezigReserve!D39</f>
        <v>Pol Callebert</v>
      </c>
      <c r="C39" s="151">
        <f>samen!P39</f>
        <v>2</v>
      </c>
      <c r="D39" s="151">
        <f>samen!Q39</f>
        <v>0</v>
      </c>
      <c r="E39" s="151">
        <f>samen!R39</f>
        <v>3</v>
      </c>
      <c r="F39" s="151">
        <f>samen!S39</f>
        <v>0</v>
      </c>
      <c r="H39" s="151">
        <f t="shared" si="1"/>
        <v>5</v>
      </c>
      <c r="J39" s="189">
        <v>4</v>
      </c>
      <c r="K39" s="151">
        <v>1</v>
      </c>
      <c r="L39" s="151">
        <v>1</v>
      </c>
      <c r="O39"/>
      <c r="P39" s="151">
        <v>5</v>
      </c>
      <c r="U39" s="190">
        <f t="shared" si="0"/>
        <v>11</v>
      </c>
      <c r="X39" s="151" t="s">
        <v>214</v>
      </c>
    </row>
    <row r="40" spans="2:24" ht="14.1" customHeight="1">
      <c r="B40" s="152" t="str">
        <f>AanwezigReserve!D40</f>
        <v>Regina De Pauw</v>
      </c>
      <c r="C40" s="151">
        <f>samen!P40</f>
        <v>3</v>
      </c>
      <c r="D40" s="151">
        <f>samen!Q40</f>
        <v>1</v>
      </c>
      <c r="E40" s="151">
        <f>samen!R40</f>
        <v>3</v>
      </c>
      <c r="F40" s="151" t="str">
        <f>samen!S40</f>
        <v/>
      </c>
      <c r="H40" s="151">
        <f t="shared" si="1"/>
        <v>7</v>
      </c>
      <c r="J40" s="189"/>
      <c r="K40" s="151">
        <v>2</v>
      </c>
      <c r="L40" s="151">
        <v>0</v>
      </c>
      <c r="O40"/>
      <c r="P40" s="151">
        <v>12</v>
      </c>
      <c r="U40" s="190">
        <f t="shared" si="0"/>
        <v>14</v>
      </c>
      <c r="X40" s="151" t="s">
        <v>215</v>
      </c>
    </row>
    <row r="41" spans="2:24" ht="14.1" customHeight="1">
      <c r="B41" s="152" t="str">
        <f>AanwezigReserve!D41</f>
        <v>Rita Van Helleputte</v>
      </c>
      <c r="C41" s="151" t="str">
        <f>samen!P41</f>
        <v/>
      </c>
      <c r="D41" s="151" t="str">
        <f>samen!Q41</f>
        <v/>
      </c>
      <c r="E41" s="151" t="str">
        <f>samen!R41</f>
        <v/>
      </c>
      <c r="F41" s="151" t="str">
        <f>samen!S41</f>
        <v/>
      </c>
      <c r="H41" s="151">
        <f t="shared" si="1"/>
        <v>0</v>
      </c>
      <c r="J41" s="189">
        <v>2</v>
      </c>
      <c r="K41" s="151">
        <v>5</v>
      </c>
      <c r="L41" s="151">
        <v>0</v>
      </c>
      <c r="O41"/>
      <c r="P41" s="151">
        <v>5</v>
      </c>
      <c r="U41" s="190">
        <f t="shared" si="0"/>
        <v>12</v>
      </c>
      <c r="X41" s="151" t="s">
        <v>216</v>
      </c>
    </row>
    <row r="42" spans="2:24" ht="14.1" customHeight="1">
      <c r="B42" s="152" t="str">
        <f>AanwezigReserve!D42</f>
        <v>Roger Schietse</v>
      </c>
      <c r="C42" s="151">
        <f>samen!P42</f>
        <v>0</v>
      </c>
      <c r="D42" s="151">
        <f>samen!Q42</f>
        <v>1</v>
      </c>
      <c r="E42" s="151">
        <f>samen!R42</f>
        <v>0</v>
      </c>
      <c r="F42" s="151" t="str">
        <f>samen!S42</f>
        <v/>
      </c>
      <c r="H42" s="151">
        <f>SUM(C42:F42)</f>
        <v>1</v>
      </c>
      <c r="J42" s="189">
        <v>5</v>
      </c>
      <c r="K42" s="151">
        <v>0</v>
      </c>
      <c r="L42" s="151">
        <v>0</v>
      </c>
      <c r="O42"/>
      <c r="P42" s="151">
        <v>2</v>
      </c>
      <c r="U42" s="190">
        <f t="shared" si="0"/>
        <v>7</v>
      </c>
      <c r="X42" s="151" t="s">
        <v>217</v>
      </c>
    </row>
    <row r="43" spans="2:24" ht="14.1" customHeight="1">
      <c r="B43" s="152" t="str">
        <f>AanwezigReserve!D43</f>
        <v>Roger Van Peteghem</v>
      </c>
      <c r="C43" s="151">
        <f>samen!P43</f>
        <v>0</v>
      </c>
      <c r="D43" s="151">
        <f>samen!Q43</f>
        <v>0</v>
      </c>
      <c r="E43" s="151">
        <f>samen!R43</f>
        <v>0</v>
      </c>
      <c r="F43" s="151">
        <f>samen!S43</f>
        <v>3</v>
      </c>
      <c r="H43" s="151">
        <f>SUM(C43:F43)</f>
        <v>3</v>
      </c>
      <c r="J43" s="189">
        <v>5</v>
      </c>
      <c r="K43" s="151">
        <v>5</v>
      </c>
      <c r="L43" s="151">
        <v>0</v>
      </c>
      <c r="O43"/>
      <c r="P43" s="151">
        <v>9</v>
      </c>
      <c r="U43" s="190">
        <f t="shared" si="0"/>
        <v>19</v>
      </c>
      <c r="X43" s="151" t="s">
        <v>218</v>
      </c>
    </row>
    <row r="44" spans="2:24" ht="14.1" customHeight="1">
      <c r="B44" s="152" t="str">
        <f>AanwezigReserve!D44</f>
        <v>Rosane Biasino</v>
      </c>
      <c r="C44" s="151">
        <f>samen!P44</f>
        <v>0</v>
      </c>
      <c r="D44" s="151">
        <f>samen!Q44</f>
        <v>2</v>
      </c>
      <c r="E44" s="151">
        <f>samen!R44</f>
        <v>2</v>
      </c>
      <c r="F44" s="151" t="str">
        <f>samen!S44</f>
        <v/>
      </c>
      <c r="H44" s="151">
        <f t="shared" si="1"/>
        <v>4</v>
      </c>
      <c r="J44" s="189">
        <v>4</v>
      </c>
      <c r="K44" s="151">
        <v>10</v>
      </c>
      <c r="L44" s="151">
        <v>5</v>
      </c>
      <c r="O44"/>
      <c r="P44" s="151">
        <v>13</v>
      </c>
      <c r="U44" s="190">
        <f t="shared" si="0"/>
        <v>32</v>
      </c>
      <c r="X44" s="151" t="s">
        <v>219</v>
      </c>
    </row>
    <row r="45" spans="2:24" ht="14.1" customHeight="1">
      <c r="B45" s="152" t="str">
        <f>AanwezigReserve!D45</f>
        <v>Simonne Pauwels</v>
      </c>
      <c r="C45" s="151">
        <f>samen!P45</f>
        <v>2</v>
      </c>
      <c r="D45" s="151">
        <f>samen!Q45</f>
        <v>0</v>
      </c>
      <c r="E45" s="151">
        <f>samen!R45</f>
        <v>1</v>
      </c>
      <c r="F45" s="151">
        <f>samen!S45</f>
        <v>0</v>
      </c>
      <c r="H45" s="151">
        <f t="shared" si="1"/>
        <v>3</v>
      </c>
      <c r="J45" s="189">
        <v>6</v>
      </c>
      <c r="K45" s="151">
        <v>7</v>
      </c>
      <c r="L45" s="151">
        <v>5</v>
      </c>
      <c r="O45"/>
      <c r="P45" s="151">
        <v>8</v>
      </c>
      <c r="U45" s="190">
        <f t="shared" si="0"/>
        <v>26</v>
      </c>
      <c r="X45" s="151" t="s">
        <v>220</v>
      </c>
    </row>
    <row r="46" spans="2:24" ht="14.1" customHeight="1">
      <c r="B46" s="152" t="str">
        <f>AanwezigReserve!D46</f>
        <v>Stan  Astaes</v>
      </c>
      <c r="C46" s="151" t="str">
        <f>samen!P46</f>
        <v/>
      </c>
      <c r="D46" s="151" t="str">
        <f>samen!Q46</f>
        <v/>
      </c>
      <c r="E46" s="151" t="str">
        <f>samen!R46</f>
        <v/>
      </c>
      <c r="F46" s="151" t="str">
        <f>samen!S46</f>
        <v/>
      </c>
      <c r="H46" s="151">
        <f t="shared" si="1"/>
        <v>0</v>
      </c>
      <c r="J46" s="189">
        <v>2</v>
      </c>
      <c r="K46" s="151">
        <v>6</v>
      </c>
      <c r="L46" s="151">
        <v>5</v>
      </c>
      <c r="O46"/>
      <c r="P46" s="151">
        <v>0</v>
      </c>
      <c r="U46" s="190">
        <f t="shared" si="0"/>
        <v>13</v>
      </c>
      <c r="X46" s="151" t="s">
        <v>221</v>
      </c>
    </row>
    <row r="47" spans="2:24" ht="14.1" customHeight="1">
      <c r="B47" s="152" t="str">
        <f>AanwezigReserve!D47</f>
        <v>Suzanne Muijters</v>
      </c>
      <c r="C47" s="151" t="str">
        <f>samen!P47</f>
        <v/>
      </c>
      <c r="D47" s="151" t="str">
        <f>samen!Q47</f>
        <v/>
      </c>
      <c r="E47" s="151" t="str">
        <f>samen!R47</f>
        <v/>
      </c>
      <c r="F47" s="151" t="str">
        <f>samen!S47</f>
        <v/>
      </c>
      <c r="H47" s="151">
        <f>SUM(D47:F47)</f>
        <v>0</v>
      </c>
      <c r="J47" s="189">
        <v>4</v>
      </c>
      <c r="K47" s="151">
        <v>0</v>
      </c>
      <c r="L47" s="151">
        <v>3</v>
      </c>
      <c r="O47"/>
      <c r="P47" s="151">
        <v>0</v>
      </c>
      <c r="U47" s="190">
        <f t="shared" si="0"/>
        <v>7</v>
      </c>
      <c r="X47" s="151" t="s">
        <v>222</v>
      </c>
    </row>
    <row r="48" spans="2:24" ht="14.1" customHeight="1">
      <c r="B48" s="152" t="str">
        <f>AanwezigReserve!D48</f>
        <v>Tony Criel</v>
      </c>
      <c r="C48" s="151">
        <f>samen!P48</f>
        <v>3</v>
      </c>
      <c r="D48" s="151">
        <f>samen!Q48</f>
        <v>0</v>
      </c>
      <c r="E48" s="151">
        <f>samen!R48</f>
        <v>2</v>
      </c>
      <c r="F48" s="151" t="str">
        <f>samen!S48</f>
        <v/>
      </c>
      <c r="H48" s="151">
        <f t="shared" si="1"/>
        <v>5</v>
      </c>
      <c r="J48" s="189"/>
      <c r="K48" s="151">
        <v>0</v>
      </c>
      <c r="L48" s="151">
        <v>8</v>
      </c>
      <c r="O48"/>
      <c r="P48" s="151">
        <v>9</v>
      </c>
      <c r="U48" s="190">
        <f t="shared" si="0"/>
        <v>17</v>
      </c>
    </row>
    <row r="49" spans="2:23" ht="14.1" customHeight="1">
      <c r="B49" s="152" t="str">
        <f>AanwezigReserve!D49</f>
        <v>Walter Saveyn</v>
      </c>
      <c r="C49" s="151" t="str">
        <f>samen!P49</f>
        <v/>
      </c>
      <c r="D49" s="151" t="str">
        <f>samen!Q49</f>
        <v/>
      </c>
      <c r="E49" s="151" t="str">
        <f>samen!R49</f>
        <v/>
      </c>
      <c r="F49" s="151" t="str">
        <f>samen!S49</f>
        <v/>
      </c>
      <c r="H49" s="151">
        <f t="shared" si="1"/>
        <v>0</v>
      </c>
      <c r="J49" s="189"/>
      <c r="K49" s="151">
        <v>0</v>
      </c>
      <c r="L49" s="151">
        <v>3</v>
      </c>
      <c r="O49"/>
      <c r="P49" s="151">
        <v>3</v>
      </c>
      <c r="U49" s="190">
        <f t="shared" si="0"/>
        <v>6</v>
      </c>
    </row>
    <row r="50" spans="2:23" ht="14.1" customHeight="1">
      <c r="B50" s="152" t="str">
        <f>AanwezigReserve!D50</f>
        <v>Willy Duwyn</v>
      </c>
      <c r="J50" s="189"/>
      <c r="K50" s="151">
        <v>0</v>
      </c>
      <c r="O50"/>
      <c r="U50" s="190">
        <f t="shared" si="0"/>
        <v>0</v>
      </c>
    </row>
    <row r="51" spans="2:23" s="228" customFormat="1" ht="14.1" customHeight="1">
      <c r="C51" s="228">
        <f t="shared" ref="C51:H51" si="3">SUM(C3:C49)</f>
        <v>54</v>
      </c>
      <c r="D51" s="228">
        <f t="shared" si="3"/>
        <v>48</v>
      </c>
      <c r="E51" s="228">
        <f t="shared" si="3"/>
        <v>38</v>
      </c>
      <c r="F51" s="228">
        <f t="shared" si="3"/>
        <v>14</v>
      </c>
      <c r="G51" s="228">
        <f t="shared" si="3"/>
        <v>0</v>
      </c>
      <c r="H51" s="228">
        <f t="shared" si="3"/>
        <v>154</v>
      </c>
      <c r="J51" s="229">
        <f>SUM(J3:J50)</f>
        <v>152</v>
      </c>
      <c r="K51" s="229">
        <f>SUM(K3:K50)</f>
        <v>136</v>
      </c>
      <c r="L51" s="229">
        <f>SUM(L3:L50)</f>
        <v>134</v>
      </c>
      <c r="M51" s="230"/>
      <c r="N51" s="230"/>
      <c r="O51" s="231"/>
      <c r="P51" s="230">
        <v>276</v>
      </c>
      <c r="Q51" s="230"/>
      <c r="R51" s="230"/>
      <c r="S51" s="230"/>
      <c r="T51" s="230"/>
      <c r="U51" s="232">
        <f t="shared" si="0"/>
        <v>698</v>
      </c>
      <c r="W51" s="228">
        <f>SUM(U51*V51)</f>
        <v>0</v>
      </c>
    </row>
    <row r="52" spans="2:23" ht="14.1" customHeight="1">
      <c r="J52" s="151">
        <f>J51*0.2</f>
        <v>30.400000000000002</v>
      </c>
      <c r="K52" s="151">
        <f t="shared" ref="K52:S52" si="4">K51*0.2</f>
        <v>27.200000000000003</v>
      </c>
      <c r="L52" s="151">
        <f t="shared" si="4"/>
        <v>26.8</v>
      </c>
      <c r="M52" s="151">
        <f t="shared" si="4"/>
        <v>0</v>
      </c>
      <c r="N52" s="151">
        <f t="shared" si="4"/>
        <v>0</v>
      </c>
      <c r="O52" s="151">
        <f t="shared" si="4"/>
        <v>0</v>
      </c>
      <c r="P52" s="151">
        <f t="shared" si="4"/>
        <v>55.2</v>
      </c>
      <c r="Q52" s="151">
        <f t="shared" si="4"/>
        <v>0</v>
      </c>
      <c r="R52" s="151">
        <f t="shared" si="4"/>
        <v>0</v>
      </c>
      <c r="S52" s="151">
        <f t="shared" si="4"/>
        <v>0</v>
      </c>
      <c r="U52" s="151">
        <f>SUM(J52:S52)</f>
        <v>139.60000000000002</v>
      </c>
    </row>
    <row r="53" spans="2:23" ht="14.1" customHeight="1">
      <c r="O53"/>
    </row>
    <row r="54" spans="2:23" ht="14.1" customHeight="1">
      <c r="O54"/>
    </row>
    <row r="55" spans="2:23" ht="14.1" customHeight="1"/>
    <row r="56" spans="2:23" ht="14.1" customHeight="1"/>
    <row r="57" spans="2:23" ht="14.1" customHeight="1"/>
    <row r="58" spans="2:23" ht="14.1" customHeight="1"/>
    <row r="59" spans="2:23" ht="14.1" customHeight="1"/>
    <row r="60" spans="2:23" ht="14.1" customHeight="1"/>
    <row r="61" spans="2:23" ht="14.1" customHeight="1"/>
    <row r="62" spans="2:23" ht="14.1" customHeight="1"/>
    <row r="63" spans="2:23" ht="14.1" customHeight="1"/>
    <row r="64" spans="2:23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  <row r="794" ht="14.1" customHeight="1"/>
    <row r="795" ht="14.1" customHeight="1"/>
    <row r="796" ht="14.1" customHeight="1"/>
    <row r="797" ht="14.1" customHeight="1"/>
    <row r="798" ht="14.1" customHeight="1"/>
    <row r="799" ht="14.1" customHeight="1"/>
    <row r="800" ht="14.1" customHeight="1"/>
    <row r="801" ht="14.1" customHeight="1"/>
    <row r="802" ht="14.1" customHeight="1"/>
    <row r="803" ht="14.1" customHeight="1"/>
    <row r="804" ht="14.1" customHeight="1"/>
    <row r="805" ht="14.1" customHeight="1"/>
    <row r="806" ht="14.1" customHeight="1"/>
    <row r="807" ht="14.1" customHeight="1"/>
    <row r="808" ht="14.1" customHeight="1"/>
    <row r="809" ht="14.1" customHeight="1"/>
    <row r="810" ht="14.1" customHeight="1"/>
    <row r="811" ht="14.1" customHeight="1"/>
    <row r="812" ht="14.1" customHeight="1"/>
    <row r="813" ht="14.1" customHeight="1"/>
    <row r="814" ht="14.1" customHeight="1"/>
    <row r="815" ht="14.1" customHeight="1"/>
    <row r="816" ht="14.1" customHeight="1"/>
    <row r="817" ht="14.1" customHeight="1"/>
    <row r="818" ht="14.1" customHeight="1"/>
    <row r="819" ht="14.1" customHeight="1"/>
    <row r="820" ht="14.1" customHeight="1"/>
    <row r="821" ht="14.1" customHeight="1"/>
    <row r="822" ht="14.1" customHeight="1"/>
    <row r="823" ht="14.1" customHeight="1"/>
    <row r="824" ht="14.1" customHeight="1"/>
    <row r="825" ht="14.1" customHeight="1"/>
    <row r="826" ht="14.1" customHeight="1"/>
    <row r="827" ht="14.1" customHeight="1"/>
    <row r="828" ht="14.1" customHeight="1"/>
    <row r="829" ht="14.1" customHeight="1"/>
    <row r="830" ht="14.1" customHeight="1"/>
    <row r="831" ht="14.1" customHeight="1"/>
    <row r="832" ht="14.1" customHeight="1"/>
    <row r="833" ht="14.1" customHeight="1"/>
    <row r="834" ht="14.1" customHeight="1"/>
    <row r="835" ht="14.1" customHeight="1"/>
    <row r="836" ht="14.1" customHeight="1"/>
    <row r="837" ht="14.1" customHeight="1"/>
    <row r="838" ht="14.1" customHeight="1"/>
    <row r="839" ht="14.1" customHeight="1"/>
    <row r="840" ht="14.1" customHeight="1"/>
    <row r="841" ht="14.1" customHeight="1"/>
    <row r="842" ht="14.1" customHeight="1"/>
    <row r="843" ht="14.1" customHeight="1"/>
    <row r="844" ht="14.1" customHeight="1"/>
    <row r="845" ht="14.1" customHeight="1"/>
    <row r="846" ht="14.1" customHeight="1"/>
    <row r="847" ht="14.1" customHeight="1"/>
    <row r="848" ht="14.1" customHeight="1"/>
    <row r="849" ht="14.1" customHeight="1"/>
    <row r="850" ht="14.1" customHeight="1"/>
    <row r="851" ht="14.1" customHeight="1"/>
    <row r="852" ht="14.1" customHeight="1"/>
    <row r="853" ht="14.1" customHeight="1"/>
    <row r="854" ht="14.1" customHeight="1"/>
    <row r="855" ht="14.1" customHeight="1"/>
    <row r="856" ht="14.1" customHeight="1"/>
    <row r="857" ht="14.1" customHeight="1"/>
    <row r="858" ht="14.1" customHeight="1"/>
    <row r="859" ht="14.1" customHeight="1"/>
    <row r="860" ht="14.1" customHeight="1"/>
    <row r="861" ht="14.1" customHeight="1"/>
    <row r="862" ht="14.1" customHeight="1"/>
    <row r="863" ht="14.1" customHeight="1"/>
    <row r="864" ht="14.1" customHeight="1"/>
    <row r="865" ht="14.1" customHeight="1"/>
    <row r="866" ht="14.1" customHeight="1"/>
    <row r="867" ht="14.1" customHeight="1"/>
    <row r="868" ht="14.1" customHeight="1"/>
    <row r="869" ht="14.1" customHeight="1"/>
    <row r="870" ht="14.1" customHeight="1"/>
    <row r="871" ht="14.1" customHeight="1"/>
    <row r="872" ht="14.1" customHeight="1"/>
    <row r="873" ht="14.1" customHeight="1"/>
    <row r="874" ht="14.1" customHeight="1"/>
    <row r="875" ht="14.1" customHeight="1"/>
    <row r="876" ht="14.1" customHeight="1"/>
    <row r="877" ht="14.1" customHeight="1"/>
    <row r="878" ht="14.1" customHeight="1"/>
    <row r="879" ht="14.1" customHeight="1"/>
    <row r="880" ht="14.1" customHeight="1"/>
    <row r="881" ht="14.1" customHeight="1"/>
    <row r="882" ht="14.1" customHeight="1"/>
    <row r="883" ht="14.1" customHeight="1"/>
  </sheetData>
  <phoneticPr fontId="30" type="noConversion"/>
  <pageMargins left="0.7" right="0.7" top="0.75" bottom="0.75" header="0.3" footer="0.3"/>
  <pageSetup paperSize="9" orientation="portrait" r:id="rId1"/>
  <ignoredErrors>
    <ignoredError sqref="H47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94FC4-91BC-4A43-B666-B3B702335D6C}">
  <sheetPr codeName="Blad9">
    <pageSetUpPr fitToPage="1"/>
  </sheetPr>
  <dimension ref="A1:H56"/>
  <sheetViews>
    <sheetView topLeftCell="A38" workbookViewId="0">
      <selection activeCell="A56" sqref="A56"/>
    </sheetView>
  </sheetViews>
  <sheetFormatPr defaultColWidth="8.85546875" defaultRowHeight="18"/>
  <cols>
    <col min="1" max="1" width="31.85546875" style="271" customWidth="1"/>
    <col min="2" max="2" width="20.140625" style="271" customWidth="1"/>
    <col min="3" max="3" width="7.7109375" style="271" customWidth="1"/>
    <col min="4" max="4" width="14.140625" style="271" customWidth="1"/>
    <col min="5" max="6" width="8.85546875" style="271"/>
    <col min="7" max="7" width="12.85546875" style="271" customWidth="1"/>
    <col min="8" max="16384" width="8.85546875" style="271"/>
  </cols>
  <sheetData>
    <row r="1" spans="1:4" ht="18.75">
      <c r="A1" s="268" t="s">
        <v>288</v>
      </c>
      <c r="B1" s="269"/>
      <c r="C1" s="269"/>
      <c r="D1" s="270" t="s">
        <v>287</v>
      </c>
    </row>
    <row r="2" spans="1:4" ht="18.75">
      <c r="A2" s="272" t="str">
        <f>AanwezigReserve!D3</f>
        <v>Alfreda Fiers</v>
      </c>
      <c r="B2" s="273" t="s">
        <v>169</v>
      </c>
      <c r="C2" s="273"/>
      <c r="D2" s="274"/>
    </row>
    <row r="3" spans="1:4" ht="18.75">
      <c r="A3" s="272" t="str">
        <f>AanwezigReserve!D4</f>
        <v>Brigitte Raeymaekers</v>
      </c>
      <c r="B3" s="273" t="s">
        <v>169</v>
      </c>
      <c r="C3" s="273"/>
      <c r="D3" s="274"/>
    </row>
    <row r="4" spans="1:4" ht="18.75">
      <c r="A4" s="272" t="str">
        <f>AanwezigReserve!D5</f>
        <v>Chris Cuppens</v>
      </c>
      <c r="B4" s="273" t="s">
        <v>169</v>
      </c>
      <c r="C4" s="273"/>
      <c r="D4" s="274"/>
    </row>
    <row r="5" spans="1:4" ht="18.75">
      <c r="A5" s="272" t="str">
        <f>AanwezigReserve!D6</f>
        <v>Christiane De Maesschalck</v>
      </c>
      <c r="B5" s="273" t="s">
        <v>169</v>
      </c>
      <c r="C5" s="273"/>
      <c r="D5" s="274"/>
    </row>
    <row r="6" spans="1:4" ht="18.75">
      <c r="A6" s="272" t="str">
        <f>AanwezigReserve!D7</f>
        <v>Christiane Van der Sypt</v>
      </c>
      <c r="B6" s="273" t="s">
        <v>169</v>
      </c>
      <c r="C6" s="273"/>
      <c r="D6" s="274"/>
    </row>
    <row r="7" spans="1:4" ht="18.75">
      <c r="A7" s="272" t="str">
        <f>AanwezigReserve!D8</f>
        <v>Daniel Bogaert</v>
      </c>
      <c r="B7" s="273" t="s">
        <v>169</v>
      </c>
      <c r="C7" s="273"/>
      <c r="D7" s="274"/>
    </row>
    <row r="8" spans="1:4" ht="18.75">
      <c r="A8" s="272" t="str">
        <f>AanwezigReserve!D9</f>
        <v>Daniella Vanhalewyn</v>
      </c>
      <c r="B8" s="273" t="s">
        <v>169</v>
      </c>
      <c r="C8" s="273"/>
      <c r="D8" s="274"/>
    </row>
    <row r="9" spans="1:4" ht="18.75">
      <c r="A9" s="272" t="str">
        <f>AanwezigReserve!D10</f>
        <v>Dirk De Brabander</v>
      </c>
      <c r="B9" s="273" t="s">
        <v>169</v>
      </c>
      <c r="C9" s="273"/>
      <c r="D9" s="274"/>
    </row>
    <row r="10" spans="1:4" ht="18.75">
      <c r="A10" s="272" t="str">
        <f>AanwezigReserve!D11</f>
        <v>Dirk Desante</v>
      </c>
      <c r="B10" s="273" t="s">
        <v>169</v>
      </c>
      <c r="C10" s="273"/>
      <c r="D10" s="274"/>
    </row>
    <row r="11" spans="1:4" ht="18.75">
      <c r="A11" s="272" t="str">
        <f>AanwezigReserve!D12</f>
        <v>Etienne Saveyn</v>
      </c>
      <c r="B11" s="273" t="s">
        <v>169</v>
      </c>
      <c r="C11" s="273"/>
      <c r="D11" s="274"/>
    </row>
    <row r="12" spans="1:4" ht="18.75">
      <c r="A12" s="272" t="str">
        <f>AanwezigReserve!D13</f>
        <v>Filip Dejans</v>
      </c>
      <c r="B12" s="273" t="s">
        <v>169</v>
      </c>
      <c r="C12" s="273"/>
      <c r="D12" s="274"/>
    </row>
    <row r="13" spans="1:4" ht="18.75">
      <c r="A13" s="272" t="str">
        <f>AanwezigReserve!D14</f>
        <v>Francine Thienpont</v>
      </c>
      <c r="B13" s="273" t="s">
        <v>169</v>
      </c>
      <c r="C13" s="273"/>
      <c r="D13" s="274"/>
    </row>
    <row r="14" spans="1:4" ht="18.75">
      <c r="A14" s="272" t="str">
        <f>AanwezigReserve!D15</f>
        <v>Frans Catteeuw</v>
      </c>
      <c r="B14" s="273" t="s">
        <v>169</v>
      </c>
      <c r="C14" s="273"/>
      <c r="D14" s="274"/>
    </row>
    <row r="15" spans="1:4" ht="18.75">
      <c r="A15" s="272" t="str">
        <f>AanwezigReserve!D16</f>
        <v>Freddy Moerman</v>
      </c>
      <c r="B15" s="273" t="s">
        <v>169</v>
      </c>
      <c r="C15" s="273"/>
      <c r="D15" s="274"/>
    </row>
    <row r="16" spans="1:4" ht="18.75">
      <c r="A16" s="272" t="str">
        <f>AanwezigReserve!D17</f>
        <v>Georges Tollenaere</v>
      </c>
      <c r="B16" s="273" t="s">
        <v>169</v>
      </c>
      <c r="C16" s="273"/>
      <c r="D16" s="274"/>
    </row>
    <row r="17" spans="1:4" ht="18.75">
      <c r="A17" s="272" t="str">
        <f>AanwezigReserve!D18</f>
        <v>Gina Van Den Bossche</v>
      </c>
      <c r="B17" s="273" t="s">
        <v>169</v>
      </c>
      <c r="C17" s="273"/>
      <c r="D17" s="274"/>
    </row>
    <row r="18" spans="1:4" ht="18.75">
      <c r="A18" s="272" t="str">
        <f>AanwezigReserve!D19</f>
        <v>Herman Buysse</v>
      </c>
      <c r="B18" s="273" t="s">
        <v>169</v>
      </c>
      <c r="C18" s="273"/>
      <c r="D18" s="274"/>
    </row>
    <row r="19" spans="1:4" ht="18.75">
      <c r="A19" s="272" t="str">
        <f>AanwezigReserve!D20</f>
        <v>Hubert Verplaetse</v>
      </c>
      <c r="B19" s="273" t="s">
        <v>169</v>
      </c>
      <c r="C19" s="273"/>
      <c r="D19" s="274"/>
    </row>
    <row r="20" spans="1:4" ht="18.75">
      <c r="A20" s="272" t="str">
        <f>AanwezigReserve!D21</f>
        <v>Ivan Scheir</v>
      </c>
      <c r="B20" s="273" t="s">
        <v>169</v>
      </c>
      <c r="C20" s="273"/>
      <c r="D20" s="274"/>
    </row>
    <row r="21" spans="1:4" ht="18.75">
      <c r="A21" s="272" t="str">
        <f>AanwezigReserve!D22</f>
        <v>Jacqueline Geubels</v>
      </c>
      <c r="B21" s="273" t="s">
        <v>169</v>
      </c>
      <c r="C21" s="273"/>
      <c r="D21" s="274"/>
    </row>
    <row r="22" spans="1:4" ht="18.75">
      <c r="A22" s="272" t="str">
        <f>AanwezigReserve!D23</f>
        <v>Jacques De Meester</v>
      </c>
      <c r="B22" s="273" t="s">
        <v>169</v>
      </c>
      <c r="C22" s="273"/>
      <c r="D22" s="274"/>
    </row>
    <row r="23" spans="1:4" ht="18.75">
      <c r="A23" s="272" t="str">
        <f>AanwezigReserve!D24</f>
        <v>JeanM. Van Veirdeghem</v>
      </c>
      <c r="B23" s="273" t="s">
        <v>169</v>
      </c>
      <c r="C23" s="273"/>
      <c r="D23" s="274"/>
    </row>
    <row r="24" spans="1:4" ht="18.75">
      <c r="A24" s="272" t="str">
        <f>AanwezigReserve!D25</f>
        <v>Jeroom Van Severen</v>
      </c>
      <c r="B24" s="273" t="s">
        <v>169</v>
      </c>
      <c r="C24" s="273"/>
      <c r="D24" s="274"/>
    </row>
    <row r="25" spans="1:4" ht="18.75">
      <c r="A25" s="272" t="str">
        <f>AanwezigReserve!D26</f>
        <v>Johan Saey</v>
      </c>
      <c r="B25" s="273" t="s">
        <v>169</v>
      </c>
      <c r="C25" s="273"/>
      <c r="D25" s="274"/>
    </row>
    <row r="26" spans="1:4" ht="18.75">
      <c r="A26" s="272" t="str">
        <f>AanwezigReserve!D27</f>
        <v>Jozef Van Landeghem</v>
      </c>
      <c r="B26" s="273" t="s">
        <v>169</v>
      </c>
      <c r="C26" s="273"/>
      <c r="D26" s="274"/>
    </row>
    <row r="27" spans="1:4" ht="18.75">
      <c r="A27" s="272" t="str">
        <f>AanwezigReserve!D28</f>
        <v>Julien Herrebaut</v>
      </c>
      <c r="B27" s="273" t="s">
        <v>169</v>
      </c>
      <c r="C27" s="273"/>
      <c r="D27" s="274"/>
    </row>
    <row r="28" spans="1:4" ht="18.75">
      <c r="A28" s="272" t="str">
        <f>AanwezigReserve!D29</f>
        <v>Lucien Van Peteghem</v>
      </c>
      <c r="B28" s="273" t="s">
        <v>169</v>
      </c>
      <c r="C28" s="273"/>
      <c r="D28" s="274"/>
    </row>
    <row r="29" spans="1:4" ht="18.75">
      <c r="A29" s="272" t="str">
        <f>AanwezigReserve!D30</f>
        <v>Lutgarde Vanderhaegen</v>
      </c>
      <c r="B29" s="273" t="s">
        <v>169</v>
      </c>
      <c r="C29" s="273"/>
      <c r="D29" s="274"/>
    </row>
    <row r="30" spans="1:4" ht="18.75">
      <c r="A30" s="272" t="str">
        <f>AanwezigReserve!D31</f>
        <v>Lydie Ysveld</v>
      </c>
      <c r="B30" s="273" t="s">
        <v>169</v>
      </c>
      <c r="C30" s="273"/>
      <c r="D30" s="274"/>
    </row>
    <row r="31" spans="1:4" ht="18.75">
      <c r="A31" s="272" t="str">
        <f>AanwezigReserve!D32</f>
        <v>Marc Ediers</v>
      </c>
      <c r="B31" s="273" t="s">
        <v>169</v>
      </c>
      <c r="C31" s="273"/>
      <c r="D31" s="274"/>
    </row>
    <row r="32" spans="1:4" ht="18.75">
      <c r="A32" s="272" t="str">
        <f>AanwezigReserve!D33</f>
        <v>Marguerite Van Hende</v>
      </c>
      <c r="B32" s="273" t="s">
        <v>169</v>
      </c>
      <c r="C32" s="273"/>
      <c r="D32" s="274"/>
    </row>
    <row r="33" spans="1:8" ht="18.75">
      <c r="A33" s="272" t="str">
        <f>AanwezigReserve!D34</f>
        <v>Marleen Denert</v>
      </c>
      <c r="B33" s="273" t="s">
        <v>169</v>
      </c>
      <c r="C33" s="273"/>
      <c r="D33" s="274"/>
      <c r="H33" s="278">
        <v>5</v>
      </c>
    </row>
    <row r="34" spans="1:8" ht="18.75">
      <c r="A34" s="272" t="str">
        <f>AanwezigReserve!D35</f>
        <v>Michel Van Laere</v>
      </c>
      <c r="B34" s="273" t="s">
        <v>169</v>
      </c>
      <c r="C34" s="273"/>
      <c r="D34" s="275"/>
    </row>
    <row r="35" spans="1:8" ht="18.75">
      <c r="A35" s="272" t="str">
        <f>AanwezigReserve!D36</f>
        <v>Nestor Meirte</v>
      </c>
      <c r="B35" s="273" t="s">
        <v>169</v>
      </c>
      <c r="C35" s="273"/>
      <c r="D35" s="274"/>
    </row>
    <row r="36" spans="1:8" ht="18.75">
      <c r="A36" s="272" t="str">
        <f>AanwezigReserve!D37</f>
        <v>Patrick Geys</v>
      </c>
      <c r="B36" s="273" t="s">
        <v>169</v>
      </c>
      <c r="C36" s="273"/>
      <c r="D36" s="274"/>
    </row>
    <row r="37" spans="1:8" ht="18.75">
      <c r="A37" s="272" t="str">
        <f>AanwezigReserve!D38</f>
        <v>Patrick Vande Kerckhove</v>
      </c>
      <c r="B37" s="273" t="s">
        <v>169</v>
      </c>
      <c r="C37" s="273"/>
      <c r="D37" s="274"/>
    </row>
    <row r="38" spans="1:8" ht="18.75">
      <c r="A38" s="272" t="str">
        <f>AanwezigReserve!D39</f>
        <v>Pol Callebert</v>
      </c>
      <c r="B38" s="273" t="s">
        <v>169</v>
      </c>
      <c r="C38" s="273"/>
      <c r="D38" s="274"/>
    </row>
    <row r="39" spans="1:8" ht="18.75">
      <c r="A39" s="272" t="str">
        <f>AanwezigReserve!D40</f>
        <v>Regina De Pauw</v>
      </c>
      <c r="B39" s="273" t="s">
        <v>169</v>
      </c>
      <c r="C39" s="273"/>
      <c r="D39" s="274"/>
    </row>
    <row r="40" spans="1:8" ht="18.75">
      <c r="A40" s="272" t="str">
        <f>AanwezigReserve!D41</f>
        <v>Rita Van Helleputte</v>
      </c>
      <c r="B40" s="273" t="s">
        <v>169</v>
      </c>
      <c r="C40" s="273"/>
      <c r="D40" s="274"/>
    </row>
    <row r="41" spans="1:8" ht="18.75">
      <c r="A41" s="272" t="str">
        <f>AanwezigReserve!D42</f>
        <v>Roger Schietse</v>
      </c>
      <c r="B41" s="273" t="s">
        <v>169</v>
      </c>
      <c r="C41" s="273"/>
      <c r="D41" s="274"/>
    </row>
    <row r="42" spans="1:8" ht="18.75">
      <c r="A42" s="272" t="str">
        <f>AanwezigReserve!D43</f>
        <v>Roger Van Peteghem</v>
      </c>
      <c r="B42" s="273" t="s">
        <v>169</v>
      </c>
      <c r="C42" s="273"/>
      <c r="D42" s="274"/>
    </row>
    <row r="43" spans="1:8" ht="18.75">
      <c r="A43" s="272" t="str">
        <f>AanwezigReserve!D44</f>
        <v>Rosane Biasino</v>
      </c>
      <c r="B43" s="273" t="s">
        <v>169</v>
      </c>
      <c r="C43" s="273"/>
      <c r="D43" s="276"/>
    </row>
    <row r="44" spans="1:8" ht="18.75">
      <c r="A44" s="272" t="str">
        <f>AanwezigReserve!D45</f>
        <v>Simonne Pauwels</v>
      </c>
      <c r="B44" s="273" t="s">
        <v>169</v>
      </c>
      <c r="C44" s="273"/>
      <c r="D44" s="274"/>
    </row>
    <row r="45" spans="1:8" ht="18.75">
      <c r="A45" s="272" t="str">
        <f>AanwezigReserve!D46</f>
        <v>Stan  Astaes</v>
      </c>
      <c r="B45" s="273" t="s">
        <v>169</v>
      </c>
      <c r="C45" s="273"/>
      <c r="D45" s="274"/>
    </row>
    <row r="46" spans="1:8" ht="18.75">
      <c r="A46" s="272" t="str">
        <f>AanwezigReserve!D47</f>
        <v>Suzanne Muijters</v>
      </c>
      <c r="B46" s="273" t="s">
        <v>169</v>
      </c>
      <c r="C46" s="273"/>
      <c r="D46" s="270"/>
    </row>
    <row r="47" spans="1:8">
      <c r="A47" s="272" t="str">
        <f>AanwezigReserve!D48</f>
        <v>Tony Criel</v>
      </c>
      <c r="B47" s="273" t="s">
        <v>169</v>
      </c>
      <c r="C47" s="277"/>
      <c r="D47" s="277"/>
    </row>
    <row r="48" spans="1:8">
      <c r="A48" s="272" t="str">
        <f>AanwezigReserve!D49</f>
        <v>Walter Saveyn</v>
      </c>
      <c r="B48" s="273" t="s">
        <v>169</v>
      </c>
      <c r="C48" s="277"/>
      <c r="D48" s="277"/>
    </row>
    <row r="49" spans="1:4">
      <c r="A49" s="272" t="str">
        <f>AanwezigReserve!D50</f>
        <v>Willy Duwyn</v>
      </c>
      <c r="B49" s="273" t="s">
        <v>169</v>
      </c>
      <c r="C49" s="277"/>
      <c r="D49" s="277"/>
    </row>
    <row r="50" spans="1:4">
      <c r="A50" s="272" t="str">
        <f>AanwezigReserve!D51</f>
        <v>Wim Van Peteghem</v>
      </c>
      <c r="B50" s="273" t="s">
        <v>169</v>
      </c>
      <c r="C50" s="277"/>
      <c r="D50" s="277"/>
    </row>
    <row r="51" spans="1:4">
      <c r="A51" s="272" t="str">
        <f>AanwezigReserve!D52</f>
        <v>ZZAnie  Leijman</v>
      </c>
      <c r="B51" s="273" t="s">
        <v>169</v>
      </c>
      <c r="C51" s="277"/>
      <c r="D51" s="277"/>
    </row>
    <row r="52" spans="1:4">
      <c r="A52" s="272" t="str">
        <f>AanwezigReserve!D53</f>
        <v>Miek Dedeurwaerder</v>
      </c>
      <c r="B52" s="273"/>
      <c r="C52" s="277"/>
      <c r="D52" s="277"/>
    </row>
    <row r="53" spans="1:4">
      <c r="A53" s="272">
        <f>AanwezigReserve!D54</f>
        <v>0</v>
      </c>
      <c r="B53" s="273"/>
      <c r="C53" s="277"/>
      <c r="D53" s="277"/>
    </row>
    <row r="54" spans="1:4">
      <c r="A54" s="272" t="str">
        <f>AanwezigReserve!D55</f>
        <v xml:space="preserve"> </v>
      </c>
      <c r="B54" s="273"/>
      <c r="C54" s="277"/>
      <c r="D54" s="277"/>
    </row>
    <row r="55" spans="1:4">
      <c r="A55" s="272" t="str">
        <f>AanwezigReserve!D56</f>
        <v xml:space="preserve"> </v>
      </c>
      <c r="B55" s="273"/>
      <c r="C55" s="277"/>
      <c r="D55" s="277"/>
    </row>
    <row r="56" spans="1:4">
      <c r="A56" s="272"/>
      <c r="B56" s="273"/>
      <c r="C56" s="277"/>
      <c r="D56" s="277"/>
    </row>
  </sheetData>
  <phoneticPr fontId="53" type="noConversion"/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5</vt:i4>
      </vt:variant>
    </vt:vector>
  </HeadingPairs>
  <TitlesOfParts>
    <vt:vector size="17" baseType="lpstr">
      <vt:lpstr>AanwezigReserve</vt:lpstr>
      <vt:lpstr>Wedstrijdblad</vt:lpstr>
      <vt:lpstr>Loting</vt:lpstr>
      <vt:lpstr>Ronde1</vt:lpstr>
      <vt:lpstr>Ronde2</vt:lpstr>
      <vt:lpstr>Ronde3</vt:lpstr>
      <vt:lpstr>Ronde4</vt:lpstr>
      <vt:lpstr>Dagscores</vt:lpstr>
      <vt:lpstr>Blad2</vt:lpstr>
      <vt:lpstr>samen</vt:lpstr>
      <vt:lpstr>TotaleScores</vt:lpstr>
      <vt:lpstr>Aanwezigheidslijst</vt:lpstr>
      <vt:lpstr>a</vt:lpstr>
      <vt:lpstr>AanwezigReserve!Afdrukbereik</vt:lpstr>
      <vt:lpstr>Loting!Afdrukbereik</vt:lpstr>
      <vt:lpstr>spelers</vt:lpstr>
      <vt:lpstr>Loting!Whist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Marleen</dc:creator>
  <cp:lastModifiedBy>Patrick Geys</cp:lastModifiedBy>
  <cp:lastPrinted>2026-04-27T14:12:18Z</cp:lastPrinted>
  <dcterms:created xsi:type="dcterms:W3CDTF">2006-07-10T11:49:33Z</dcterms:created>
  <dcterms:modified xsi:type="dcterms:W3CDTF">2026-04-27T17:25:04Z</dcterms:modified>
</cp:coreProperties>
</file>