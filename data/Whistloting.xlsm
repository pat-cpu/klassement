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ropbox\THE WHISKIES\klassement\"/>
    </mc:Choice>
  </mc:AlternateContent>
  <xr:revisionPtr revIDLastSave="0" documentId="13_ncr:1_{EE0A9ED4-B04C-45FA-AEAE-EC90D44BCF5D}" xr6:coauthVersionLast="47" xr6:coauthVersionMax="47" xr10:uidLastSave="{00000000-0000-0000-0000-000000000000}"/>
  <bookViews>
    <workbookView xWindow="-2085" yWindow="-16320" windowWidth="29040" windowHeight="15720" tabRatio="717" firstSheet="2" activeTab="11" xr2:uid="{AF4E0A76-48D0-424F-A81C-F566E9930206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Blad2" sheetId="15" r:id="rId8"/>
    <sheet name="samen" sheetId="11" r:id="rId9"/>
    <sheet name="Reserven" sheetId="18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" hidden="1" xlm="1">#NAME?</definedName>
    <definedName name="a">Ronde1!$E$1048576</definedName>
    <definedName name="_xlnm.Print_Area" localSheetId="0">AanwezigReserve!$D$4:$R$68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" i="3" l="1"/>
  <c r="D50" i="3"/>
  <c r="E50" i="3" s="1"/>
  <c r="D5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B2" i="3"/>
  <c r="C2" i="3"/>
  <c r="E2" i="3"/>
  <c r="K51" i="19"/>
  <c r="J51" i="19"/>
  <c r="E4" i="3"/>
  <c r="E5" i="3"/>
  <c r="E6" i="3"/>
  <c r="E7" i="3"/>
  <c r="E8" i="3"/>
  <c r="E23" i="3"/>
  <c r="E10" i="3"/>
  <c r="E11" i="3"/>
  <c r="E12" i="3"/>
  <c r="A14" i="20"/>
  <c r="E17" i="3"/>
  <c r="E19" i="3"/>
  <c r="E20" i="3"/>
  <c r="E22" i="3"/>
  <c r="E26" i="3"/>
  <c r="E27" i="3"/>
  <c r="E29" i="3"/>
  <c r="E31" i="3"/>
  <c r="E32" i="3"/>
  <c r="E33" i="3"/>
  <c r="A33" i="20"/>
  <c r="E37" i="3"/>
  <c r="A40" i="20"/>
  <c r="E44" i="3"/>
  <c r="E45" i="3"/>
  <c r="A45" i="20"/>
  <c r="D52" i="3"/>
  <c r="E13" i="3"/>
  <c r="A6" i="20"/>
  <c r="A7" i="20"/>
  <c r="A18" i="20"/>
  <c r="A28" i="20"/>
  <c r="A42" i="20"/>
  <c r="H8" i="2"/>
  <c r="A44" i="20" l="1"/>
  <c r="A32" i="20"/>
  <c r="A19" i="20"/>
  <c r="A35" i="20"/>
  <c r="A21" i="20"/>
  <c r="A31" i="20"/>
  <c r="A43" i="20"/>
  <c r="A16" i="20"/>
  <c r="A12" i="20"/>
  <c r="A30" i="20"/>
  <c r="A9" i="20"/>
  <c r="A49" i="20"/>
  <c r="A38" i="20"/>
  <c r="A4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0" i="3"/>
  <c r="E18" i="3"/>
  <c r="A15" i="20"/>
  <c r="E43" i="3"/>
  <c r="E42" i="3"/>
  <c r="A4" i="20"/>
  <c r="A3" i="20"/>
  <c r="E51" i="3"/>
  <c r="E14" i="3"/>
  <c r="A47" i="20"/>
  <c r="E28" i="3"/>
  <c r="A24" i="20"/>
  <c r="E39" i="3"/>
  <c r="A23" i="20"/>
  <c r="E38" i="3"/>
  <c r="E49" i="3"/>
  <c r="E25" i="3"/>
  <c r="A34" i="20"/>
  <c r="E48" i="3"/>
  <c r="E36" i="3"/>
  <c r="E24" i="3"/>
  <c r="A20" i="20"/>
  <c r="E47" i="3"/>
  <c r="E35" i="3"/>
  <c r="E16" i="3"/>
  <c r="E46" i="3"/>
  <c r="E34" i="3"/>
  <c r="E21" i="3"/>
  <c r="A26" i="20"/>
  <c r="E41" i="3"/>
  <c r="A10" i="20"/>
  <c r="E52" i="3"/>
  <c r="E40" i="3"/>
  <c r="E15" i="3"/>
  <c r="A8" i="20"/>
  <c r="A5" i="20"/>
  <c r="E9" i="3"/>
  <c r="I33" i="7"/>
  <c r="I32" i="7"/>
  <c r="I31" i="7"/>
  <c r="I30" i="7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0" i="2"/>
  <c r="E30" i="2"/>
  <c r="E16" i="2"/>
  <c r="E27" i="2"/>
  <c r="E6" i="2"/>
  <c r="E9" i="2"/>
  <c r="E40" i="2"/>
  <c r="E26" i="2"/>
  <c r="E52" i="2"/>
  <c r="E56" i="2"/>
  <c r="E57" i="2"/>
  <c r="E58" i="2"/>
  <c r="E59" i="2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34" i="2" l="1"/>
  <c r="E28" i="2"/>
  <c r="E53" i="2"/>
  <c r="E55" i="2"/>
  <c r="P52" i="19"/>
  <c r="U52" i="19" s="1"/>
  <c r="U51" i="19"/>
  <c r="W51" i="19" s="1"/>
  <c r="U3" i="19"/>
  <c r="U47" i="19"/>
  <c r="H50" i="19"/>
  <c r="G51" i="19"/>
  <c r="C45" i="18" l="1"/>
  <c r="C46" i="18"/>
  <c r="C47" i="18"/>
  <c r="C48" i="18"/>
  <c r="C49" i="18"/>
  <c r="C50" i="18"/>
  <c r="C51" i="18"/>
  <c r="C52" i="18"/>
  <c r="C53" i="18"/>
  <c r="C54" i="18"/>
  <c r="A11" i="11"/>
  <c r="B54" i="18"/>
  <c r="B47" i="19"/>
  <c r="B50" i="18"/>
  <c r="B51" i="18"/>
  <c r="B53" i="18"/>
  <c r="A17" i="11"/>
  <c r="A51" i="11"/>
  <c r="A53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A58" i="2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23" i="3"/>
  <c r="H24" i="3"/>
  <c r="H9" i="3"/>
  <c r="H50" i="3"/>
  <c r="H51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C24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H13" i="3"/>
  <c r="H3" i="3"/>
  <c r="H4" i="3"/>
  <c r="H5" i="3"/>
  <c r="H6" i="3"/>
  <c r="H7" i="3"/>
  <c r="H8" i="3"/>
  <c r="H10" i="3"/>
  <c r="H11" i="3"/>
  <c r="H12" i="3"/>
  <c r="H14" i="3"/>
  <c r="H15" i="3"/>
  <c r="H16" i="3"/>
  <c r="H17" i="3"/>
  <c r="H18" i="3"/>
  <c r="H19" i="3"/>
  <c r="H20" i="3"/>
  <c r="H21" i="3"/>
  <c r="H22" i="3"/>
  <c r="H25" i="3"/>
  <c r="H53" i="3"/>
  <c r="H26" i="3"/>
  <c r="H27" i="3"/>
  <c r="H28" i="3"/>
  <c r="H29" i="3"/>
  <c r="H30" i="3"/>
  <c r="H31" i="3"/>
  <c r="E54" i="2"/>
  <c r="K30" i="7"/>
  <c r="K30" i="6"/>
  <c r="E11" i="11" l="1"/>
  <c r="F11" i="11"/>
  <c r="F53" i="11"/>
  <c r="E53" i="11"/>
  <c r="E51" i="11"/>
  <c r="F51" i="11"/>
  <c r="E17" i="11"/>
  <c r="F17" i="11"/>
  <c r="A10" i="11"/>
  <c r="B10" i="11" s="1"/>
  <c r="E38" i="2"/>
  <c r="E45" i="2"/>
  <c r="E8" i="2"/>
  <c r="E51" i="2"/>
  <c r="E17" i="2"/>
  <c r="A46" i="11"/>
  <c r="A26" i="11"/>
  <c r="E15" i="2"/>
  <c r="E29" i="2"/>
  <c r="E12" i="2"/>
  <c r="A9" i="11"/>
  <c r="E49" i="2"/>
  <c r="A24" i="11"/>
  <c r="B24" i="11" s="1"/>
  <c r="E24" i="2"/>
  <c r="A8" i="11"/>
  <c r="B52" i="18"/>
  <c r="E7" i="2"/>
  <c r="E18" i="2"/>
  <c r="E33" i="2"/>
  <c r="B22" i="19"/>
  <c r="E21" i="2"/>
  <c r="B35" i="19"/>
  <c r="E10" i="2"/>
  <c r="E5" i="2"/>
  <c r="A5" i="11"/>
  <c r="E23" i="2"/>
  <c r="E44" i="2"/>
  <c r="E43" i="2"/>
  <c r="E11" i="2"/>
  <c r="E48" i="2"/>
  <c r="E35" i="2"/>
  <c r="A38" i="11"/>
  <c r="E47" i="2"/>
  <c r="E46" i="2"/>
  <c r="E13" i="2"/>
  <c r="A35" i="11"/>
  <c r="B49" i="18"/>
  <c r="E42" i="2"/>
  <c r="E14" i="2"/>
  <c r="A2" i="20"/>
  <c r="A36" i="11"/>
  <c r="A22" i="11"/>
  <c r="B41" i="19"/>
  <c r="A41" i="11"/>
  <c r="A34" i="11"/>
  <c r="A45" i="11"/>
  <c r="B26" i="19"/>
  <c r="A21" i="11"/>
  <c r="B21" i="11" s="1"/>
  <c r="B31" i="19"/>
  <c r="B39" i="19"/>
  <c r="B32" i="19"/>
  <c r="B42" i="19"/>
  <c r="B27" i="19"/>
  <c r="B36" i="19"/>
  <c r="B23" i="19"/>
  <c r="B7" i="19"/>
  <c r="E31" i="2"/>
  <c r="A20" i="11"/>
  <c r="B6" i="19"/>
  <c r="E25" i="2"/>
  <c r="B19" i="19"/>
  <c r="E20" i="2"/>
  <c r="B40" i="19"/>
  <c r="B17" i="19"/>
  <c r="E19" i="2"/>
  <c r="B15" i="19"/>
  <c r="E36" i="2"/>
  <c r="B13" i="19"/>
  <c r="E39" i="2"/>
  <c r="B10" i="19"/>
  <c r="E32" i="2"/>
  <c r="B25" i="19"/>
  <c r="B9" i="19"/>
  <c r="E37" i="2"/>
  <c r="B37" i="19"/>
  <c r="B24" i="19"/>
  <c r="B8" i="19"/>
  <c r="E41" i="2"/>
  <c r="A23" i="11"/>
  <c r="B45" i="18"/>
  <c r="B46" i="19"/>
  <c r="B46" i="18"/>
  <c r="A44" i="11"/>
  <c r="B45" i="19"/>
  <c r="B29" i="18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48" i="18"/>
  <c r="B18" i="19"/>
  <c r="A40" i="11"/>
  <c r="B11" i="11"/>
  <c r="A47" i="11"/>
  <c r="A32" i="11"/>
  <c r="B33" i="19"/>
  <c r="B20" i="19"/>
  <c r="B5" i="19"/>
  <c r="A49" i="11"/>
  <c r="B49" i="19"/>
  <c r="B48" i="19"/>
  <c r="A48" i="11"/>
  <c r="A19" i="11"/>
  <c r="A52" i="11"/>
  <c r="B47" i="18"/>
  <c r="Z5" i="3"/>
  <c r="A27" i="11"/>
  <c r="A15" i="11"/>
  <c r="B17" i="11"/>
  <c r="A16" i="11"/>
  <c r="Z4" i="3"/>
  <c r="A33" i="11"/>
  <c r="A14" i="11"/>
  <c r="A25" i="11"/>
  <c r="A13" i="11"/>
  <c r="A12" i="11"/>
  <c r="A29" i="11"/>
  <c r="A28" i="11"/>
  <c r="A37" i="11"/>
  <c r="B41" i="18"/>
  <c r="B24" i="18"/>
  <c r="B30" i="18"/>
  <c r="B3" i="19"/>
  <c r="B9" i="18"/>
  <c r="B28" i="18"/>
  <c r="B27" i="18"/>
  <c r="B42" i="18"/>
  <c r="B36" i="18"/>
  <c r="B32" i="18"/>
  <c r="B5" i="18"/>
  <c r="B40" i="18"/>
  <c r="B3" i="18"/>
  <c r="B38" i="18"/>
  <c r="B4" i="18"/>
  <c r="B39" i="18"/>
  <c r="B44" i="18"/>
  <c r="B17" i="18"/>
  <c r="B16" i="18"/>
  <c r="B15" i="18"/>
  <c r="B14" i="18"/>
  <c r="B26" i="18"/>
  <c r="B13" i="18"/>
  <c r="B37" i="18"/>
  <c r="B25" i="18"/>
  <c r="B12" i="18"/>
  <c r="B11" i="18"/>
  <c r="B35" i="18"/>
  <c r="B22" i="18"/>
  <c r="B10" i="18"/>
  <c r="B34" i="18"/>
  <c r="B21" i="18"/>
  <c r="B33" i="18"/>
  <c r="B20" i="18"/>
  <c r="B8" i="18"/>
  <c r="B19" i="18"/>
  <c r="B7" i="18"/>
  <c r="B43" i="18"/>
  <c r="B31" i="18"/>
  <c r="B18" i="18"/>
  <c r="B6" i="18"/>
  <c r="B23" i="18"/>
  <c r="Q54" i="11"/>
  <c r="R54" i="11"/>
  <c r="S54" i="11"/>
  <c r="E32" i="11" l="1"/>
  <c r="F32" i="11"/>
  <c r="B14" i="11"/>
  <c r="E14" i="11"/>
  <c r="F14" i="11"/>
  <c r="B33" i="11"/>
  <c r="E33" i="11"/>
  <c r="F33" i="11"/>
  <c r="B30" i="11"/>
  <c r="E30" i="11"/>
  <c r="F30" i="11"/>
  <c r="E21" i="11"/>
  <c r="F21" i="11"/>
  <c r="E5" i="11"/>
  <c r="F5" i="11"/>
  <c r="E24" i="11"/>
  <c r="F24" i="11"/>
  <c r="B39" i="11"/>
  <c r="E39" i="11"/>
  <c r="F39" i="11"/>
  <c r="B16" i="11"/>
  <c r="E16" i="11"/>
  <c r="F16" i="11"/>
  <c r="E49" i="11"/>
  <c r="F49" i="11"/>
  <c r="E50" i="11"/>
  <c r="F50" i="11"/>
  <c r="B44" i="11"/>
  <c r="E44" i="11"/>
  <c r="F44" i="11"/>
  <c r="B5" i="11"/>
  <c r="B35" i="11"/>
  <c r="E35" i="11"/>
  <c r="F35" i="11"/>
  <c r="E10" i="11"/>
  <c r="F10" i="11"/>
  <c r="C10" i="11"/>
  <c r="B25" i="11"/>
  <c r="E25" i="11"/>
  <c r="F25" i="11"/>
  <c r="B20" i="11"/>
  <c r="E20" i="11"/>
  <c r="F20" i="11"/>
  <c r="B15" i="11"/>
  <c r="E15" i="11"/>
  <c r="F15" i="11"/>
  <c r="E4" i="11"/>
  <c r="F4" i="11"/>
  <c r="B45" i="11"/>
  <c r="E45" i="11"/>
  <c r="F45" i="11"/>
  <c r="B43" i="11"/>
  <c r="E43" i="11"/>
  <c r="F43" i="11"/>
  <c r="B34" i="11"/>
  <c r="E34" i="11"/>
  <c r="F34" i="11"/>
  <c r="B7" i="11"/>
  <c r="D7" i="11"/>
  <c r="E7" i="11"/>
  <c r="F7" i="11"/>
  <c r="B23" i="11"/>
  <c r="E23" i="11"/>
  <c r="F23" i="11"/>
  <c r="B41" i="11"/>
  <c r="E41" i="11"/>
  <c r="F41" i="11"/>
  <c r="B38" i="11"/>
  <c r="E38" i="11"/>
  <c r="F38" i="11"/>
  <c r="B27" i="11"/>
  <c r="E27" i="11"/>
  <c r="F27" i="11"/>
  <c r="B29" i="11"/>
  <c r="E29" i="11"/>
  <c r="F29" i="11"/>
  <c r="B47" i="11"/>
  <c r="E47" i="11"/>
  <c r="F47" i="11"/>
  <c r="B26" i="11"/>
  <c r="E26" i="11"/>
  <c r="F26" i="11"/>
  <c r="B12" i="11"/>
  <c r="E12" i="11"/>
  <c r="F12" i="11"/>
  <c r="B6" i="11"/>
  <c r="C6" i="11"/>
  <c r="E6" i="11"/>
  <c r="F6" i="11"/>
  <c r="B31" i="11"/>
  <c r="E31" i="11"/>
  <c r="F31" i="11"/>
  <c r="B22" i="11"/>
  <c r="E22" i="11"/>
  <c r="F22" i="11"/>
  <c r="B46" i="11"/>
  <c r="E46" i="11"/>
  <c r="F46" i="11"/>
  <c r="B13" i="11"/>
  <c r="E13" i="11"/>
  <c r="F13" i="11"/>
  <c r="E52" i="11"/>
  <c r="F52" i="11"/>
  <c r="B40" i="11"/>
  <c r="E40" i="11"/>
  <c r="F40" i="11"/>
  <c r="B36" i="11"/>
  <c r="E36" i="11"/>
  <c r="F36" i="11"/>
  <c r="B28" i="11"/>
  <c r="E28" i="11"/>
  <c r="F28" i="11"/>
  <c r="B19" i="11"/>
  <c r="E19" i="11"/>
  <c r="F19" i="11"/>
  <c r="B18" i="11"/>
  <c r="E18" i="11"/>
  <c r="F18" i="11"/>
  <c r="B48" i="11"/>
  <c r="E48" i="11"/>
  <c r="F48" i="11"/>
  <c r="B37" i="11"/>
  <c r="E37" i="11"/>
  <c r="F37" i="11"/>
  <c r="B8" i="11"/>
  <c r="E8" i="11"/>
  <c r="F8" i="11"/>
  <c r="B9" i="11"/>
  <c r="E9" i="11"/>
  <c r="F9" i="11"/>
  <c r="B42" i="11"/>
  <c r="E42" i="11"/>
  <c r="F42" i="11"/>
  <c r="B32" i="11"/>
  <c r="P32" i="11"/>
  <c r="C32" i="19" s="1"/>
  <c r="B4" i="11"/>
  <c r="P4" i="11"/>
  <c r="C4" i="19" s="1"/>
  <c r="F55" i="2"/>
  <c r="F57" i="2"/>
  <c r="A57" i="2" s="1"/>
  <c r="D16" i="11"/>
  <c r="D27" i="11"/>
  <c r="H54" i="3"/>
  <c r="D15" i="11" l="1"/>
  <c r="D19" i="11"/>
  <c r="D17" i="11"/>
  <c r="D21" i="11"/>
  <c r="D22" i="11"/>
  <c r="D24" i="11"/>
  <c r="D18" i="11"/>
  <c r="D20" i="11"/>
  <c r="D25" i="11"/>
  <c r="D26" i="11"/>
  <c r="D23" i="11"/>
  <c r="G57" i="15"/>
  <c r="D14" i="11" l="1"/>
  <c r="D44" i="11"/>
  <c r="E3" i="3"/>
  <c r="B50" i="11"/>
  <c r="F56" i="2"/>
  <c r="B49" i="11"/>
  <c r="F58" i="2"/>
  <c r="A59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F51" i="2" l="1"/>
  <c r="F54" i="2"/>
  <c r="F53" i="2"/>
  <c r="D42" i="11"/>
  <c r="D12" i="11"/>
  <c r="D6" i="11"/>
  <c r="D43" i="11"/>
  <c r="D36" i="11"/>
  <c r="D47" i="11"/>
  <c r="D38" i="11"/>
  <c r="D41" i="11"/>
  <c r="D39" i="11"/>
  <c r="D48" i="11"/>
  <c r="D40" i="11"/>
  <c r="D4" i="11"/>
  <c r="D50" i="11"/>
  <c r="D46" i="11"/>
  <c r="D11" i="11"/>
  <c r="D45" i="11"/>
  <c r="D34" i="11"/>
  <c r="D33" i="11"/>
  <c r="D29" i="11"/>
  <c r="D8" i="11"/>
  <c r="D51" i="11"/>
  <c r="D30" i="11"/>
  <c r="R53" i="11"/>
  <c r="D53" i="11"/>
  <c r="D35" i="11"/>
  <c r="D31" i="11"/>
  <c r="D37" i="11"/>
  <c r="D5" i="11"/>
  <c r="D10" i="11"/>
  <c r="D9" i="11"/>
  <c r="D28" i="11"/>
  <c r="D52" i="11"/>
  <c r="D49" i="11"/>
  <c r="D32" i="11"/>
  <c r="D1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C2" i="15"/>
  <c r="E2" i="15"/>
  <c r="D2" i="15"/>
  <c r="G57" i="2"/>
  <c r="A55" i="15"/>
  <c r="G55" i="2" l="1"/>
  <c r="G56" i="2"/>
  <c r="G51" i="15"/>
  <c r="G52" i="15"/>
  <c r="E55" i="15"/>
  <c r="E58" i="15" s="1"/>
  <c r="D55" i="15"/>
  <c r="D58" i="15" s="1"/>
  <c r="C55" i="15"/>
  <c r="E22" i="2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l="1"/>
  <c r="E3" i="11"/>
  <c r="D3" i="11"/>
  <c r="A56" i="2"/>
  <c r="A55" i="2"/>
  <c r="A54" i="2"/>
  <c r="A26" i="2"/>
  <c r="A7" i="2"/>
  <c r="A33" i="2"/>
  <c r="A10" i="2"/>
  <c r="A53" i="2"/>
  <c r="A9" i="2"/>
  <c r="A28" i="2"/>
  <c r="A34" i="2"/>
  <c r="A11" i="2"/>
  <c r="A50" i="2"/>
  <c r="A22" i="2"/>
  <c r="A38" i="2"/>
  <c r="A19" i="2"/>
  <c r="A47" i="2"/>
  <c r="A27" i="2"/>
  <c r="A30" i="2"/>
  <c r="A49" i="2"/>
  <c r="A32" i="2"/>
  <c r="A6" i="2"/>
  <c r="A8" i="2"/>
  <c r="A20" i="2"/>
  <c r="A44" i="2"/>
  <c r="A31" i="2"/>
  <c r="A37" i="2"/>
  <c r="A25" i="2"/>
  <c r="A41" i="2"/>
  <c r="A23" i="2"/>
  <c r="A36" i="2"/>
  <c r="A45" i="2"/>
  <c r="A39" i="2"/>
  <c r="A29" i="2"/>
  <c r="A40" i="2"/>
  <c r="A35" i="2"/>
  <c r="A18" i="2"/>
  <c r="A14" i="2"/>
  <c r="A15" i="2"/>
  <c r="A48" i="2"/>
  <c r="A12" i="2"/>
  <c r="A16" i="2"/>
  <c r="A13" i="2"/>
  <c r="A46" i="2"/>
  <c r="A43" i="2"/>
  <c r="A5" i="2"/>
  <c r="A24" i="2"/>
  <c r="A17" i="2"/>
  <c r="A42" i="2"/>
  <c r="A51" i="2"/>
  <c r="A52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R2" i="2" l="1"/>
  <c r="D1" i="13" s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C4" i="11"/>
  <c r="G4" i="11" s="1"/>
  <c r="C5" i="11"/>
  <c r="G5" i="11" s="1"/>
  <c r="P5" i="11"/>
  <c r="B3" i="15"/>
  <c r="G3" i="15" s="1"/>
  <c r="B4" i="15"/>
  <c r="G4" i="15" s="1"/>
  <c r="U5" i="11" l="1"/>
  <c r="C5" i="19"/>
  <c r="H5" i="19" s="1"/>
  <c r="B6" i="15"/>
  <c r="G6" i="15" s="1"/>
  <c r="G10" i="11"/>
  <c r="P7" i="11"/>
  <c r="C7" i="11"/>
  <c r="G7" i="11" s="1"/>
  <c r="P10" i="11"/>
  <c r="B9" i="15"/>
  <c r="G9" i="15" s="1"/>
  <c r="U10" i="11" l="1"/>
  <c r="C10" i="19"/>
  <c r="H10" i="19" s="1"/>
  <c r="U7" i="11"/>
  <c r="C7" i="19"/>
  <c r="H7" i="19" s="1"/>
  <c r="C12" i="11"/>
  <c r="G12" i="11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C13" i="11"/>
  <c r="G13" i="11" s="1"/>
  <c r="P11" i="11"/>
  <c r="C11" i="11"/>
  <c r="G11" i="11" s="1"/>
  <c r="C14" i="11"/>
  <c r="G14" i="11" s="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C35" i="11"/>
  <c r="G35" i="11" s="1"/>
  <c r="C27" i="11"/>
  <c r="G27" i="11" s="1"/>
  <c r="C21" i="11"/>
  <c r="G21" i="11" s="1"/>
  <c r="B24" i="15"/>
  <c r="G24" i="15" s="1"/>
  <c r="P24" i="11"/>
  <c r="P25" i="11"/>
  <c r="C31" i="11"/>
  <c r="G31" i="11" s="1"/>
  <c r="B27" i="15"/>
  <c r="G27" i="15" s="1"/>
  <c r="B16" i="15"/>
  <c r="G16" i="15" s="1"/>
  <c r="P15" i="11"/>
  <c r="C17" i="11"/>
  <c r="G17" i="11" s="1"/>
  <c r="P20" i="11"/>
  <c r="B35" i="15"/>
  <c r="G35" i="15" s="1"/>
  <c r="P31" i="11"/>
  <c r="P16" i="11"/>
  <c r="C32" i="11"/>
  <c r="G32" i="11" s="1"/>
  <c r="P37" i="11"/>
  <c r="C15" i="11"/>
  <c r="G15" i="11" s="1"/>
  <c r="C19" i="11"/>
  <c r="G19" i="11" s="1"/>
  <c r="B19" i="15"/>
  <c r="G19" i="15" s="1"/>
  <c r="C24" i="11"/>
  <c r="G24" i="11" s="1"/>
  <c r="B46" i="15"/>
  <c r="G46" i="15" s="1"/>
  <c r="P34" i="11"/>
  <c r="B28" i="15"/>
  <c r="G28" i="15" s="1"/>
  <c r="B36" i="15"/>
  <c r="G36" i="15" s="1"/>
  <c r="C36" i="11"/>
  <c r="G36" i="11" s="1"/>
  <c r="C16" i="11"/>
  <c r="G16" i="11" s="1"/>
  <c r="P27" i="11"/>
  <c r="B33" i="15"/>
  <c r="G33" i="15" s="1"/>
  <c r="B21" i="15"/>
  <c r="G21" i="15" s="1"/>
  <c r="P30" i="11"/>
  <c r="C33" i="11"/>
  <c r="G33" i="11" s="1"/>
  <c r="P18" i="11"/>
  <c r="C26" i="11"/>
  <c r="G26" i="11" s="1"/>
  <c r="P17" i="11"/>
  <c r="C25" i="11"/>
  <c r="G25" i="11" s="1"/>
  <c r="P28" i="11"/>
  <c r="P46" i="11"/>
  <c r="C46" i="11"/>
  <c r="G46" i="11" s="1"/>
  <c r="B20" i="15"/>
  <c r="G20" i="15" s="1"/>
  <c r="C28" i="11"/>
  <c r="G28" i="11" s="1"/>
  <c r="P22" i="11"/>
  <c r="C47" i="11"/>
  <c r="G47" i="11" s="1"/>
  <c r="B18" i="15"/>
  <c r="G18" i="15" s="1"/>
  <c r="C20" i="11"/>
  <c r="G20" i="11" s="1"/>
  <c r="P26" i="11"/>
  <c r="B14" i="15"/>
  <c r="G14" i="15" s="1"/>
  <c r="C34" i="11"/>
  <c r="G34" i="11" s="1"/>
  <c r="B31" i="15"/>
  <c r="G31" i="15" s="1"/>
  <c r="C22" i="11"/>
  <c r="G22" i="11" s="1"/>
  <c r="C29" i="11"/>
  <c r="G29" i="11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C30" i="11"/>
  <c r="G30" i="11" s="1"/>
  <c r="P19" i="11"/>
  <c r="B23" i="15"/>
  <c r="G23" i="15" s="1"/>
  <c r="P36" i="11"/>
  <c r="C23" i="11"/>
  <c r="G23" i="11" s="1"/>
  <c r="B30" i="15"/>
  <c r="G30" i="15" s="1"/>
  <c r="C37" i="11"/>
  <c r="G37" i="11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C41" i="11"/>
  <c r="G41" i="11" s="1"/>
  <c r="B2" i="15"/>
  <c r="G2" i="15" s="1"/>
  <c r="B56" i="15"/>
  <c r="G56" i="15" s="1"/>
  <c r="B39" i="15"/>
  <c r="G39" i="15" s="1"/>
  <c r="C9" i="11"/>
  <c r="G9" i="11" s="1"/>
  <c r="C40" i="11"/>
  <c r="G40" i="11" s="1"/>
  <c r="P48" i="11"/>
  <c r="C43" i="11"/>
  <c r="G43" i="11" s="1"/>
  <c r="B38" i="15"/>
  <c r="G38" i="15" s="1"/>
  <c r="B44" i="15"/>
  <c r="G44" i="15" s="1"/>
  <c r="P8" i="11"/>
  <c r="P38" i="11"/>
  <c r="B49" i="15"/>
  <c r="G49" i="15" s="1"/>
  <c r="P50" i="11"/>
  <c r="U50" i="11" s="1"/>
  <c r="P6" i="11"/>
  <c r="C38" i="11"/>
  <c r="G38" i="11" s="1"/>
  <c r="C44" i="11"/>
  <c r="G44" i="11" s="1"/>
  <c r="P39" i="11"/>
  <c r="C50" i="11"/>
  <c r="G50" i="11" s="1"/>
  <c r="C18" i="11"/>
  <c r="G18" i="11" s="1"/>
  <c r="C49" i="11"/>
  <c r="G49" i="11" s="1"/>
  <c r="B5" i="15"/>
  <c r="G5" i="15" s="1"/>
  <c r="C39" i="11"/>
  <c r="G39" i="11" s="1"/>
  <c r="P53" i="11"/>
  <c r="U53" i="11" s="1"/>
  <c r="P52" i="11"/>
  <c r="U52" i="11" s="1"/>
  <c r="B53" i="15"/>
  <c r="G53" i="15" s="1"/>
  <c r="P43" i="11"/>
  <c r="C45" i="11"/>
  <c r="G45" i="11" s="1"/>
  <c r="B8" i="15"/>
  <c r="G8" i="15" s="1"/>
  <c r="P41" i="11"/>
  <c r="C52" i="11"/>
  <c r="G52" i="11" s="1"/>
  <c r="C8" i="11"/>
  <c r="G8" i="11" s="1"/>
  <c r="C51" i="11"/>
  <c r="G51" i="11" s="1"/>
  <c r="C42" i="11"/>
  <c r="G42" i="11" s="1"/>
  <c r="P3" i="11"/>
  <c r="B47" i="15"/>
  <c r="G47" i="15" s="1"/>
  <c r="G6" i="1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C48" i="11"/>
  <c r="G48" i="11" s="1"/>
  <c r="P44" i="11"/>
  <c r="C3" i="11"/>
  <c r="P42" i="11"/>
  <c r="B54" i="15"/>
  <c r="G54" i="15" s="1"/>
  <c r="P45" i="11"/>
  <c r="C53" i="11"/>
  <c r="G53" i="11" s="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A21" i="2" l="1"/>
  <c r="F2" i="2" s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R19" i="2" l="1"/>
  <c r="N69" i="2" s="1"/>
  <c r="AB45" i="2" l="1"/>
  <c r="K20" i="2"/>
  <c r="K19" i="2"/>
  <c r="M20" i="2"/>
  <c r="R20" i="2"/>
  <c r="P20" i="2"/>
  <c r="P19" i="2" l="1"/>
  <c r="M69" i="2" s="1"/>
  <c r="R69" i="2"/>
  <c r="AB48" i="2"/>
  <c r="AB52" i="2"/>
  <c r="AB53" i="2"/>
  <c r="S69" i="2"/>
  <c r="AB49" i="2"/>
  <c r="Q69" i="2"/>
  <c r="AB51" i="2"/>
  <c r="AB47" i="2"/>
  <c r="AB42" i="2"/>
  <c r="K69" i="2"/>
  <c r="P69" i="2"/>
  <c r="AB46" i="2"/>
  <c r="AB44" i="2" l="1"/>
  <c r="M19" i="2"/>
  <c r="L69" i="2" s="1"/>
  <c r="B5" i="2"/>
  <c r="AB43" i="2" l="1"/>
  <c r="C5" i="2" l="1"/>
  <c r="K13" i="2" s="1"/>
  <c r="R16" i="2"/>
  <c r="M18" i="2"/>
  <c r="M17" i="2"/>
  <c r="P16" i="2"/>
  <c r="K14" i="2"/>
  <c r="M16" i="2"/>
  <c r="K18" i="2"/>
  <c r="K17" i="2"/>
  <c r="R15" i="2"/>
  <c r="P14" i="2"/>
  <c r="P17" i="2"/>
  <c r="M15" i="2"/>
  <c r="P18" i="2"/>
  <c r="R18" i="2"/>
  <c r="P15" i="2"/>
  <c r="K16" i="2"/>
  <c r="M14" i="2"/>
  <c r="K15" i="2"/>
  <c r="R14" i="2"/>
  <c r="R17" i="2"/>
  <c r="AB41" i="2" l="1"/>
  <c r="S62" i="2"/>
  <c r="P55" i="2"/>
  <c r="AB30" i="2"/>
  <c r="K62" i="2"/>
  <c r="AB34" i="2"/>
  <c r="L62" i="2"/>
  <c r="AB35" i="2"/>
  <c r="AB38" i="2"/>
  <c r="P62" i="2"/>
  <c r="AB32" i="2"/>
  <c r="R55" i="2"/>
  <c r="AB18" i="2"/>
  <c r="K48" i="2"/>
  <c r="AB22" i="2"/>
  <c r="P48" i="2"/>
  <c r="AB40" i="2"/>
  <c r="R62" i="2"/>
  <c r="AB39" i="2"/>
  <c r="Q62" i="2"/>
  <c r="AB31" i="2"/>
  <c r="Q55" i="2"/>
  <c r="AB27" i="2"/>
  <c r="L55" i="2"/>
  <c r="AB36" i="2"/>
  <c r="M62" i="2"/>
  <c r="AB37" i="2"/>
  <c r="N62" i="2"/>
  <c r="S48" i="2"/>
  <c r="AB25" i="2"/>
  <c r="S55" i="2"/>
  <c r="AB33" i="2"/>
  <c r="Q48" i="2"/>
  <c r="AB23" i="2"/>
  <c r="M55" i="2"/>
  <c r="AB28" i="2"/>
  <c r="R48" i="2"/>
  <c r="AB24" i="2"/>
  <c r="AB26" i="2"/>
  <c r="K55" i="2"/>
  <c r="N55" i="2"/>
  <c r="AB29" i="2"/>
  <c r="B6" i="2" l="1"/>
  <c r="C6" i="2" l="1"/>
  <c r="K9" i="2" l="1"/>
  <c r="K34" i="2" l="1"/>
  <c r="AB2" i="2"/>
  <c r="A7" i="13"/>
  <c r="B7" i="2"/>
  <c r="C7" i="2" l="1"/>
  <c r="M9" i="2" l="1"/>
  <c r="AB3" i="2" l="1"/>
  <c r="L34" i="2"/>
  <c r="B7" i="13"/>
  <c r="B8" i="2" l="1"/>
  <c r="C8" i="2" l="1"/>
  <c r="B9" i="2"/>
  <c r="C9" i="2" s="1"/>
  <c r="P9" i="2" l="1"/>
  <c r="R9" i="2"/>
  <c r="C7" i="13" l="1"/>
  <c r="M34" i="2"/>
  <c r="AB4" i="2"/>
  <c r="D7" i="13"/>
  <c r="N34" i="2"/>
  <c r="AB5" i="2"/>
  <c r="B10" i="2" l="1"/>
  <c r="C10" i="2" l="1"/>
  <c r="B11" i="2"/>
  <c r="B12" i="2" l="1"/>
  <c r="C12" i="2" s="1"/>
  <c r="C11" i="2"/>
  <c r="K10" i="2"/>
  <c r="B13" i="2" l="1"/>
  <c r="P34" i="2"/>
  <c r="AB6" i="2"/>
  <c r="F7" i="13"/>
  <c r="P10" i="2"/>
  <c r="C13" i="2" l="1"/>
  <c r="B14" i="2"/>
  <c r="C14" i="2" s="1"/>
  <c r="M10" i="2" s="1"/>
  <c r="Q34" i="2" s="1"/>
  <c r="R34" i="2"/>
  <c r="AB8" i="2"/>
  <c r="H7" i="13"/>
  <c r="R10" i="2" l="1"/>
  <c r="K11" i="2"/>
  <c r="AB7" i="2"/>
  <c r="G7" i="13"/>
  <c r="B15" i="2"/>
  <c r="C15" i="2" s="1"/>
  <c r="M11" i="2" s="1"/>
  <c r="K41" i="2" l="1"/>
  <c r="AB10" i="2"/>
  <c r="I7" i="13"/>
  <c r="S34" i="2"/>
  <c r="AB9" i="2"/>
  <c r="B16" i="2"/>
  <c r="C16" i="2" s="1"/>
  <c r="AB11" i="2"/>
  <c r="L41" i="2"/>
  <c r="B17" i="2" l="1"/>
  <c r="C17" i="2" s="1"/>
  <c r="R11" i="2" s="1"/>
  <c r="B18" i="2" l="1"/>
  <c r="N41" i="2"/>
  <c r="AB13" i="2"/>
  <c r="C18" i="2" l="1"/>
  <c r="B19" i="2"/>
  <c r="C19" i="2" l="1"/>
  <c r="B20" i="2"/>
  <c r="C20" i="2" s="1"/>
  <c r="P11" i="2" s="1"/>
  <c r="M12" i="2"/>
  <c r="M41" i="2" l="1"/>
  <c r="AB12" i="2"/>
  <c r="B21" i="2"/>
  <c r="C21" i="2" s="1"/>
  <c r="R12" i="2" s="1"/>
  <c r="AB15" i="2"/>
  <c r="Q41" i="2"/>
  <c r="B22" i="2" l="1"/>
  <c r="C22" i="2" s="1"/>
  <c r="AB17" i="2"/>
  <c r="S41" i="2"/>
  <c r="B23" i="2" l="1"/>
  <c r="C23" i="2" s="1"/>
  <c r="B24" i="2" l="1"/>
  <c r="C24" i="2" s="1"/>
  <c r="B25" i="2" l="1"/>
  <c r="C25" i="2" s="1"/>
  <c r="B26" i="2" l="1"/>
  <c r="C26" i="2" s="1"/>
  <c r="B27" i="2" l="1"/>
  <c r="C27" i="2" s="1"/>
  <c r="B28" i="2" l="1"/>
  <c r="C28" i="2" s="1"/>
  <c r="B29" i="2" l="1"/>
  <c r="B30" i="2" s="1"/>
  <c r="C30" i="2" s="1"/>
  <c r="C29" i="2" l="1"/>
  <c r="B31" i="2"/>
  <c r="C31" i="2" s="1"/>
  <c r="B32" i="2" l="1"/>
  <c r="C32" i="2" s="1"/>
  <c r="B33" i="2" l="1"/>
  <c r="C33" i="2" s="1"/>
  <c r="B34" i="2" l="1"/>
  <c r="C34" i="2" s="1"/>
  <c r="B35" i="2" l="1"/>
  <c r="C35" i="2" s="1"/>
  <c r="B36" i="2" l="1"/>
  <c r="C36" i="2" s="1"/>
  <c r="B37" i="2" l="1"/>
  <c r="C37" i="2" s="1"/>
  <c r="B38" i="2" l="1"/>
  <c r="C38" i="2" s="1"/>
  <c r="B39" i="2" l="1"/>
  <c r="C39" i="2" s="1"/>
  <c r="B40" i="2" l="1"/>
  <c r="C40" i="2" s="1"/>
  <c r="B41" i="2" l="1"/>
  <c r="C41" i="2" s="1"/>
  <c r="B42" i="2" l="1"/>
  <c r="C42" i="2" s="1"/>
  <c r="B43" i="2" l="1"/>
  <c r="C43" i="2" s="1"/>
  <c r="B44" i="2" l="1"/>
  <c r="C44" i="2" s="1"/>
  <c r="B45" i="2" l="1"/>
  <c r="C45" i="2" s="1"/>
  <c r="B46" i="2" l="1"/>
  <c r="C46" i="2" s="1"/>
  <c r="B47" i="2" l="1"/>
  <c r="C47" i="2" s="1"/>
  <c r="B48" i="2" l="1"/>
  <c r="C48" i="2" s="1"/>
  <c r="B49" i="2" l="1"/>
  <c r="C49" i="2" s="1"/>
  <c r="B50" i="2" l="1"/>
  <c r="C50" i="2" s="1"/>
  <c r="B51" i="2" l="1"/>
  <c r="C51" i="2" s="1"/>
  <c r="B52" i="2" l="1"/>
  <c r="C52" i="2" s="1"/>
  <c r="B53" i="2" l="1"/>
  <c r="C53" i="2" s="1"/>
  <c r="B54" i="2" l="1"/>
  <c r="C54" i="2" s="1"/>
  <c r="B55" i="2" l="1"/>
  <c r="C55" i="2" s="1"/>
  <c r="B56" i="2" l="1"/>
  <c r="C56" i="2" s="1"/>
  <c r="B57" i="2" l="1"/>
  <c r="C57" i="2" s="1"/>
  <c r="B58" i="2" l="1"/>
  <c r="C58" i="2" s="1"/>
  <c r="K12" i="2"/>
  <c r="R13" i="2"/>
  <c r="P13" i="2"/>
  <c r="M13" i="2"/>
  <c r="P12" i="2"/>
  <c r="B59" i="2" l="1"/>
  <c r="C59" i="2" s="1"/>
  <c r="AB19" i="2"/>
  <c r="L48" i="2"/>
  <c r="M48" i="2"/>
  <c r="AB20" i="2"/>
  <c r="AB16" i="2"/>
  <c r="R41" i="2"/>
  <c r="AB21" i="2"/>
  <c r="N48" i="2"/>
  <c r="P41" i="2"/>
  <c r="AB14" i="2"/>
</calcChain>
</file>

<file path=xl/sharedStrings.xml><?xml version="1.0" encoding="utf-8"?>
<sst xmlns="http://schemas.openxmlformats.org/spreadsheetml/2006/main" count="611" uniqueCount="284">
  <si>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</si>
  <si>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</si>
  <si>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</si>
  <si>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</si>
  <si>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</si>
  <si>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</si>
  <si>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</si>
  <si>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</si>
  <si>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</si>
  <si>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</si>
  <si>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</si>
  <si>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</si>
  <si>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</si>
  <si>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</si>
  <si>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</si>
  <si>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</si>
  <si>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</si>
  <si>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</si>
  <si>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</si>
  <si>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</si>
  <si>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</si>
  <si>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</si>
  <si>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</si>
  <si>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</si>
  <si>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</si>
  <si>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</si>
  <si>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</si>
  <si>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</si>
  <si>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</si>
  <si>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</si>
  <si>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</si>
  <si>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</si>
  <si>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</si>
  <si>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Jacqueline Geubels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</si>
  <si>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</si>
  <si>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</si>
  <si>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</si>
  <si>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</si>
  <si>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</si>
  <si>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</si>
  <si>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</si>
  <si>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</si>
  <si>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Philippe</t>
  </si>
  <si>
    <t>Vergote</t>
  </si>
  <si>
    <t>Malfliet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</si>
  <si>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</si>
  <si>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</si>
  <si>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</si>
  <si>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</si>
  <si>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</si>
  <si>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</si>
  <si>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</si>
  <si>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</si>
  <si>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</si>
  <si>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</si>
  <si>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</si>
  <si>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</si>
  <si>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</si>
  <si>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</si>
  <si>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</si>
  <si>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</si>
  <si>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</si>
  <si>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</si>
  <si>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</si>
  <si>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</si>
  <si>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</si>
  <si>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</si>
  <si>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</si>
  <si>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</si>
  <si>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</si>
  <si>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</si>
  <si>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</si>
  <si>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</si>
  <si>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</si>
  <si>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</si>
  <si>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</si>
  <si>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</si>
  <si>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</si>
  <si>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</si>
  <si>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</si>
  <si>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</si>
  <si>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Lydie</t>
  </si>
  <si>
    <t>Ysveld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</si>
  <si>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</si>
  <si>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</si>
  <si>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</si>
  <si>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</si>
  <si>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</si>
  <si>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</si>
  <si>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</si>
  <si>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</si>
  <si>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</si>
  <si>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</si>
  <si>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</si>
  <si>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</si>
  <si>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</si>
  <si>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</si>
  <si>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</si>
  <si>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</si>
  <si>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</si>
  <si>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</si>
  <si>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Rik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</si>
  <si>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</si>
  <si>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</si>
  <si>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</si>
  <si>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</si>
  <si>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</si>
  <si>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</si>
  <si>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</si>
  <si>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</si>
  <si>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</si>
  <si>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</si>
  <si>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</si>
  <si>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</si>
  <si>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</si>
  <si>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</si>
  <si>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</si>
  <si>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</si>
  <si>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</si>
  <si>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</si>
  <si>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</si>
  <si>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</si>
  <si>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</si>
  <si>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</si>
  <si>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</si>
  <si>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</si>
  <si>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</si>
  <si>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</si>
  <si>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</si>
  <si>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</si>
  <si>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</si>
  <si>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</si>
  <si>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</si>
  <si>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</si>
  <si>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</si>
  <si>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</si>
  <si>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</si>
  <si>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</si>
  <si>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</si>
  <si>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</si>
  <si>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</si>
  <si>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</si>
  <si>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</si>
  <si>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</si>
  <si>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</si>
  <si>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</si>
  <si>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</si>
  <si>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</si>
  <si>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</si>
  <si>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</si>
  <si>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</si>
  <si>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</si>
  <si>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Rosane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</si>
  <si>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</si>
  <si>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</si>
  <si>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</si>
  <si>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</si>
  <si>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</si>
  <si>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</si>
  <si>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</si>
  <si>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</si>
  <si>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Stan</t>
  </si>
  <si>
    <t>Muijters</t>
  </si>
  <si>
    <t>ZZAnnie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</si>
  <si>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</si>
  <si>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</si>
  <si>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</si>
  <si>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</si>
  <si>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</si>
  <si>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</si>
  <si>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</si>
  <si>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</si>
  <si>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</si>
  <si>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</si>
  <si>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</si>
  <si>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 xml:space="preserve">ZZAnnie </t>
  </si>
  <si>
    <t>Alles terug op "A"</t>
  </si>
  <si>
    <t>Ctrl + Shift + D</t>
  </si>
  <si>
    <t>Code</t>
  </si>
  <si>
    <t># spellen</t>
  </si>
  <si>
    <t>Aantal spelen</t>
  </si>
  <si>
    <t>Lidgeld 30€</t>
  </si>
  <si>
    <t xml:space="preserve">   3      of       4</t>
  </si>
  <si>
    <t>Tafels</t>
  </si>
  <si>
    <t>RESET ALL</t>
  </si>
  <si>
    <t>Ctrl + P</t>
  </si>
  <si>
    <t>print scoreblaadjes</t>
  </si>
  <si>
    <t>Jozef</t>
  </si>
  <si>
    <t>Van Landeghem</t>
  </si>
  <si>
    <t>Desante</t>
  </si>
  <si>
    <t>R</t>
  </si>
  <si>
    <t>Astaes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</si>
  <si>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</si>
  <si>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</si>
  <si>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</si>
  <si>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</si>
  <si>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</si>
  <si>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</si>
  <si>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</si>
  <si>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</si>
  <si>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</si>
  <si>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</si>
  <si>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</si>
  <si>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</si>
  <si>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</si>
  <si>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</si>
  <si>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</si>
  <si>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</si>
  <si>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</si>
  <si>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</si>
  <si>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</si>
  <si>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</si>
  <si>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</si>
  <si>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</si>
  <si>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</si>
  <si>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</si>
  <si>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</si>
  <si>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</si>
  <si>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</si>
  <si>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</si>
  <si>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</si>
  <si>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</si>
  <si>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</si>
  <si>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</si>
  <si>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</si>
  <si>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</si>
  <si>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</si>
  <si>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</si>
  <si>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</si>
  <si>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</si>
  <si>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</si>
  <si>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</si>
  <si>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</si>
  <si>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</si>
  <si>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</si>
  <si>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</si>
  <si>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</si>
  <si>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</si>
  <si>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</si>
  <si>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</si>
  <si>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Blaadjes printen</t>
  </si>
  <si>
    <t>Frans</t>
  </si>
  <si>
    <t>Catteeuw</t>
  </si>
  <si>
    <t>Som aantal</t>
  </si>
  <si>
    <t>Pol Callebert</t>
  </si>
  <si>
    <t>Daniella Vanhalewyn</t>
  </si>
  <si>
    <t>Brigitte Raeymaekers</t>
  </si>
  <si>
    <t>Roger Van Peteghem</t>
  </si>
  <si>
    <t>Francine Thienpont</t>
  </si>
  <si>
    <t>Wim Van Peteghem</t>
  </si>
  <si>
    <t>Dirk De Brabander</t>
  </si>
  <si>
    <t>Chris Cuppens</t>
  </si>
  <si>
    <t>Marleen Denert</t>
  </si>
  <si>
    <t>Walter Saveyn</t>
  </si>
  <si>
    <t>Lutgarde Vanderhaegen</t>
  </si>
  <si>
    <t>Hubert Verplaetse</t>
  </si>
  <si>
    <t>Marguerite Van Hende</t>
  </si>
  <si>
    <t>Christiane De Maesschalck</t>
  </si>
  <si>
    <t>Lucien Van Peteghem</t>
  </si>
  <si>
    <t>Regina De Pauw</t>
  </si>
  <si>
    <t>Patrick Geys</t>
  </si>
  <si>
    <t>Etienne Saveyn</t>
  </si>
  <si>
    <t>JeanM. Van Veirdeghem</t>
  </si>
  <si>
    <t>Dirk Desante</t>
  </si>
  <si>
    <t>Daniel Bogaert</t>
  </si>
  <si>
    <t>Willy Duwyn</t>
  </si>
  <si>
    <t>Suzanne Muijters</t>
  </si>
  <si>
    <t>Jozef Van Landeghem</t>
  </si>
  <si>
    <t>Julien Herrebaut</t>
  </si>
  <si>
    <t>Georges Tollenaere</t>
  </si>
  <si>
    <t>Rosane Biasino</t>
  </si>
  <si>
    <t>Rita Van Helleputte</t>
  </si>
  <si>
    <t>Tony Criel</t>
  </si>
  <si>
    <t>Jacques De Meester</t>
  </si>
  <si>
    <t>Stan Astaes</t>
  </si>
  <si>
    <t>Nestor Meirte</t>
  </si>
  <si>
    <t>Herman Buysse</t>
  </si>
  <si>
    <t>Filip Dejans</t>
  </si>
  <si>
    <t>Frans Catteeuw</t>
  </si>
  <si>
    <t>Michel Van Laere</t>
  </si>
  <si>
    <t>Ivan Scheir</t>
  </si>
  <si>
    <t>Johan Saey</t>
  </si>
  <si>
    <t/>
  </si>
  <si>
    <t>2415 december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</si>
</sst>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6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8"/>
      <name val="Abadi MT Condensed Light"/>
      <family val="2"/>
    </font>
    <font>
      <b/>
      <sz val="8"/>
      <name val="Abadi MT Condensed Light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2"/>
      <name val="Arial"/>
      <family val="2"/>
    </font>
    <font>
      <b/>
      <sz val="14"/>
      <name val="Calibri"/>
      <family val="2"/>
    </font>
    <font>
      <b/>
      <sz val="9"/>
      <name val="Arial"/>
      <family val="2"/>
    </font>
    <font>
      <b/>
      <sz val="9"/>
      <color theme="0"/>
      <name val="Arial"/>
      <family val="2"/>
    </font>
    <font>
      <b/>
      <sz val="16"/>
      <color theme="0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</font>
  </fonts>
  <fills count="2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FA4006"/>
        <bgColor indexed="64"/>
      </patternFill>
    </fill>
  </fills>
  <borders count="4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0" borderId="0"/>
  </cellStyleXfs>
  <cellXfs count="31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5" fillId="11" borderId="2" xfId="0" applyFont="1" applyFill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43" fillId="11" borderId="2" xfId="0" applyFont="1" applyFill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5" fillId="0" borderId="0" xfId="0" applyFont="1"/>
    <xf numFmtId="0" fontId="44" fillId="0" borderId="0" xfId="0" applyFont="1" applyAlignment="1">
      <alignment horizontal="center"/>
    </xf>
    <xf numFmtId="0" fontId="30" fillId="0" borderId="0" xfId="0" applyFont="1" applyAlignment="1" applyProtection="1">
      <alignment horizontal="center"/>
      <protection locked="0"/>
    </xf>
    <xf numFmtId="0" fontId="44" fillId="0" borderId="0" xfId="0" applyFont="1" applyAlignment="1">
      <alignment horizontal="left"/>
    </xf>
    <xf numFmtId="0" fontId="46" fillId="0" borderId="0" xfId="0" applyFont="1" applyAlignment="1">
      <alignment horizontal="center"/>
    </xf>
    <xf numFmtId="0" fontId="46" fillId="0" borderId="0" xfId="0" applyFont="1"/>
    <xf numFmtId="0" fontId="44" fillId="9" borderId="2" xfId="0" applyFont="1" applyFill="1" applyBorder="1" applyAlignment="1">
      <alignment horizontal="center"/>
    </xf>
    <xf numFmtId="0" fontId="44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21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1" fillId="0" borderId="25" xfId="0" applyFont="1" applyBorder="1"/>
    <xf numFmtId="0" fontId="41" fillId="3" borderId="16" xfId="0" applyFont="1" applyFill="1" applyBorder="1" applyAlignment="1">
      <alignment horizontal="center"/>
    </xf>
    <xf numFmtId="0" fontId="47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" fillId="11" borderId="2" xfId="0" applyFont="1" applyFill="1" applyBorder="1" applyAlignment="1">
      <alignment vertical="center"/>
    </xf>
    <xf numFmtId="0" fontId="16" fillId="6" borderId="2" xfId="0" applyFont="1" applyFill="1" applyBorder="1" applyAlignment="1">
      <alignment horizontal="center"/>
    </xf>
    <xf numFmtId="0" fontId="48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9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" fillId="0" borderId="41" xfId="0" applyFont="1" applyBorder="1"/>
    <xf numFmtId="0" fontId="1" fillId="0" borderId="14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1" fillId="0" borderId="25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11" borderId="2" xfId="0" applyFont="1" applyFill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30" fillId="9" borderId="2" xfId="0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7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6" borderId="26" xfId="0" applyFont="1" applyFill="1" applyBorder="1" applyAlignment="1">
      <alignment horizontal="center"/>
    </xf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50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1" fillId="19" borderId="2" xfId="0" applyFont="1" applyFill="1" applyBorder="1" applyAlignment="1">
      <alignment vertical="center"/>
    </xf>
    <xf numFmtId="0" fontId="43" fillId="19" borderId="2" xfId="0" applyFont="1" applyFill="1" applyBorder="1" applyProtection="1">
      <protection locked="0"/>
    </xf>
    <xf numFmtId="0" fontId="16" fillId="19" borderId="22" xfId="0" applyFont="1" applyFill="1" applyBorder="1" applyProtection="1">
      <protection locked="0"/>
    </xf>
    <xf numFmtId="0" fontId="9" fillId="19" borderId="16" xfId="0" applyFont="1" applyFill="1" applyBorder="1" applyAlignment="1" applyProtection="1">
      <alignment horizontal="center"/>
      <protection locked="0"/>
    </xf>
    <xf numFmtId="0" fontId="41" fillId="19" borderId="16" xfId="0" applyFont="1" applyFill="1" applyBorder="1" applyAlignment="1">
      <alignment horizontal="center"/>
    </xf>
    <xf numFmtId="0" fontId="1" fillId="19" borderId="2" xfId="0" applyFont="1" applyFill="1" applyBorder="1" applyAlignment="1" applyProtection="1">
      <alignment horizontal="center"/>
      <protection locked="0"/>
    </xf>
    <xf numFmtId="0" fontId="1" fillId="19" borderId="0" xfId="0" applyFont="1" applyFill="1"/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9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vertical="center"/>
    </xf>
    <xf numFmtId="0" fontId="52" fillId="0" borderId="2" xfId="0" applyFont="1" applyBorder="1" applyAlignment="1">
      <alignment horizontal="left" vertical="center"/>
    </xf>
    <xf numFmtId="0" fontId="41" fillId="0" borderId="2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2" fillId="15" borderId="0" xfId="0" applyFont="1" applyFill="1"/>
    <xf numFmtId="0" fontId="15" fillId="0" borderId="41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2" fillId="0" borderId="2" xfId="0" applyFont="1" applyBorder="1" applyAlignment="1" applyProtection="1">
      <alignment horizontal="center"/>
      <protection locked="0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43" fillId="0" borderId="25" xfId="0" applyFont="1" applyBorder="1" applyProtection="1">
      <protection locked="0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43" fillId="0" borderId="16" xfId="0" applyFont="1" applyBorder="1" applyProtection="1">
      <protection locked="0"/>
    </xf>
    <xf numFmtId="0" fontId="16" fillId="0" borderId="0" xfId="0" applyFont="1" applyProtection="1">
      <protection locked="0"/>
    </xf>
    <xf numFmtId="0" fontId="50" fillId="0" borderId="39" xfId="0" applyFont="1" applyBorder="1" applyProtection="1">
      <protection locked="0"/>
    </xf>
    <xf numFmtId="0" fontId="50" fillId="0" borderId="41" xfId="0" applyFont="1" applyBorder="1" applyProtection="1">
      <protection locked="0"/>
    </xf>
    <xf numFmtId="0" fontId="57" fillId="6" borderId="40" xfId="0" applyFont="1" applyFill="1" applyBorder="1" applyAlignment="1" applyProtection="1">
      <alignment horizontal="center"/>
      <protection locked="0"/>
    </xf>
    <xf numFmtId="0" fontId="50" fillId="0" borderId="14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56" fillId="0" borderId="2" xfId="0" applyFont="1" applyBorder="1" applyProtection="1">
      <protection locked="0"/>
    </xf>
    <xf numFmtId="0" fontId="50" fillId="0" borderId="2" xfId="0" applyFont="1" applyBorder="1" applyProtection="1">
      <protection locked="0"/>
    </xf>
    <xf numFmtId="0" fontId="57" fillId="6" borderId="2" xfId="0" applyFont="1" applyFill="1" applyBorder="1" applyAlignment="1" applyProtection="1">
      <alignment horizontal="center"/>
      <protection locked="0"/>
    </xf>
    <xf numFmtId="0" fontId="50" fillId="0" borderId="2" xfId="0" applyFont="1" applyBorder="1" applyAlignment="1">
      <alignment vertical="center"/>
    </xf>
    <xf numFmtId="0" fontId="60" fillId="20" borderId="40" xfId="0" applyFont="1" applyFill="1" applyBorder="1" applyAlignment="1" applyProtection="1">
      <alignment horizontal="center"/>
      <protection locked="0"/>
    </xf>
    <xf numFmtId="0" fontId="61" fillId="20" borderId="14" xfId="0" applyFont="1" applyFill="1" applyBorder="1" applyAlignment="1">
      <alignment vertical="center"/>
    </xf>
    <xf numFmtId="1" fontId="1" fillId="0" borderId="6" xfId="0" applyNumberFormat="1" applyFont="1" applyBorder="1"/>
    <xf numFmtId="0" fontId="58" fillId="0" borderId="38" xfId="0" applyFont="1" applyBorder="1" applyAlignment="1">
      <alignment vertical="center"/>
    </xf>
    <xf numFmtId="0" fontId="59" fillId="0" borderId="13" xfId="0" applyFont="1" applyBorder="1" applyAlignment="1">
      <alignment vertical="center"/>
    </xf>
    <xf numFmtId="1" fontId="2" fillId="0" borderId="6" xfId="0" applyNumberFormat="1" applyFont="1" applyBorder="1"/>
    <xf numFmtId="0" fontId="1" fillId="0" borderId="6" xfId="0" applyFont="1" applyBorder="1" applyAlignment="1">
      <alignment vertical="center"/>
    </xf>
    <xf numFmtId="1" fontId="5" fillId="0" borderId="6" xfId="0" applyNumberFormat="1" applyFont="1" applyBorder="1"/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36" fillId="0" borderId="2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55" fillId="0" borderId="0" xfId="0" applyFont="1" applyAlignment="1">
      <alignment horizontal="center" vertical="center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52" fillId="0" borderId="2" xfId="0" applyFont="1" applyFill="1" applyBorder="1" applyAlignment="1">
      <alignment horizontal="left" vertical="center"/>
    </xf>
    <xf numFmtId="168" fontId="52" fillId="0" borderId="2" xfId="0" applyNumberFormat="1" applyFont="1" applyFill="1" applyBorder="1" applyAlignment="1">
      <alignment horizontal="left" vertical="center"/>
    </xf>
    <xf numFmtId="168" fontId="54" fillId="0" borderId="2" xfId="0" applyNumberFormat="1" applyFont="1" applyFill="1" applyBorder="1" applyAlignment="1">
      <alignment horizontal="left" vertical="center"/>
    </xf>
    <xf numFmtId="0" fontId="53" fillId="0" borderId="2" xfId="0" applyFont="1" applyFill="1" applyBorder="1" applyAlignment="1">
      <alignment vertical="center"/>
    </xf>
    <xf numFmtId="0" fontId="0" fillId="0" borderId="2" xfId="0" applyFill="1" applyBorder="1"/>
  </cellXfs>
  <cellStyles count="2">
    <cellStyle name="Standaard" xfId="0" builtinId="0"/>
    <cellStyle name="Standaard 2" xfId="1" xr:uid="{8FFE586F-9088-4737-B79D-1E99DA880EAF}"/>
  </cellStyles>
  <dxfs count="10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A4006"/>
      <color rgb="FFFBC605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4"/>
  <sheetViews>
    <sheetView topLeftCell="A11" zoomScale="89" zoomScaleNormal="89" workbookViewId="0">
      <selection activeCell="F7" sqref="F7"/>
    </sheetView>
  </sheetViews>
  <sheetFormatPr defaultColWidth="9.140625" defaultRowHeight="14.25"/>
  <cols>
    <col min="1" max="1" width="16.42578125" style="287" customWidth="1"/>
    <col min="2" max="2" width="14.42578125" style="87" customWidth="1"/>
    <col min="3" max="3" width="17" style="87" customWidth="1"/>
    <col min="4" max="4" width="32.7109375" style="142" hidden="1" customWidth="1"/>
    <col min="5" max="5" width="32.7109375" style="181" hidden="1" customWidth="1"/>
    <col min="6" max="6" width="9.85546875" style="167" customWidth="1"/>
    <col min="7" max="7" width="7" style="237" customWidth="1"/>
    <col min="8" max="8" width="3.7109375" style="168" bestFit="1" customWidth="1"/>
    <col min="9" max="10" width="4.42578125" style="87" customWidth="1"/>
    <col min="11" max="11" width="4.42578125" style="141" customWidth="1"/>
    <col min="12" max="18" width="4.42578125" style="87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18.75" thickBot="1">
      <c r="B1" s="288" t="s">
        <v>131</v>
      </c>
      <c r="C1" s="285" t="s">
        <v>243</v>
      </c>
      <c r="D1" s="276"/>
      <c r="E1" s="278" t="s">
        <v>243</v>
      </c>
      <c r="F1" s="233" t="s">
        <v>179</v>
      </c>
      <c r="G1" s="234" t="s">
        <v>178</v>
      </c>
      <c r="H1" s="163"/>
      <c r="I1" s="164" t="s">
        <v>114</v>
      </c>
      <c r="J1" s="165"/>
      <c r="K1" s="165"/>
      <c r="L1" s="165"/>
      <c r="M1" s="165"/>
      <c r="N1" s="165"/>
      <c r="O1" s="165"/>
      <c r="P1" s="165"/>
      <c r="Q1" s="165"/>
      <c r="R1" s="166"/>
      <c r="X1" s="296" t="s">
        <v>150</v>
      </c>
      <c r="Y1" s="297"/>
      <c r="Z1" s="298"/>
    </row>
    <row r="2" spans="1:34" ht="21" thickBot="1">
      <c r="B2" s="289">
        <f xml:space="preserve"> COUNT(F3:F54)</f>
        <v>40</v>
      </c>
      <c r="C2" s="286">
        <f>SUM(F3:F54)</f>
        <v>140</v>
      </c>
      <c r="D2" s="277"/>
      <c r="E2" s="279" t="e">
        <f>SUM(#REF!)</f>
        <v>#REF!</v>
      </c>
      <c r="H2" s="168" t="s">
        <v>7</v>
      </c>
      <c r="I2" s="169" t="s">
        <v>104</v>
      </c>
      <c r="J2" s="169" t="s">
        <v>105</v>
      </c>
      <c r="K2" s="199" t="s">
        <v>106</v>
      </c>
      <c r="L2" s="169" t="s">
        <v>107</v>
      </c>
      <c r="M2" s="169" t="s">
        <v>108</v>
      </c>
      <c r="N2" s="169" t="s">
        <v>109</v>
      </c>
      <c r="O2" s="169" t="s">
        <v>110</v>
      </c>
      <c r="P2" s="169" t="s">
        <v>111</v>
      </c>
      <c r="Q2" s="169" t="s">
        <v>112</v>
      </c>
      <c r="R2" s="169" t="s">
        <v>113</v>
      </c>
      <c r="X2" s="293" t="str">
        <f>"Vaste tafel in ronde "&amp;Loting!F1</f>
        <v>Vaste tafel in ronde 5</v>
      </c>
      <c r="Y2" s="294"/>
      <c r="Z2" s="295"/>
    </row>
    <row r="3" spans="1:34" ht="19.5" thickBot="1">
      <c r="A3" s="287">
        <v>2024940697630</v>
      </c>
      <c r="B3" s="57" t="s">
        <v>80</v>
      </c>
      <c r="C3" s="87" t="s">
        <v>83</v>
      </c>
      <c r="D3" s="143" t="str">
        <f t="shared" ref="D3:D24" si="0">B3&amp;" "&amp;C3</f>
        <v>Brigitte Raeymaekers</v>
      </c>
      <c r="E3" s="108" t="str">
        <f t="shared" ref="E3:E34" si="1">_xlfn.TEXTBEFORE(D3," ")</f>
        <v>Brigitte</v>
      </c>
      <c r="F3" s="58">
        <v>4</v>
      </c>
      <c r="G3" s="238"/>
      <c r="H3" s="170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90">
        <v>5</v>
      </c>
      <c r="Y3" s="87" t="s">
        <v>33</v>
      </c>
      <c r="Z3" s="191" t="b">
        <f>IF(AND(VLOOKUP(Y3,D:F,3,0)&lt;&gt;"A",VLOOKUP(Y3,D:F,3,0)&gt;=Loting!F$1),X3,FALSE)</f>
        <v>0</v>
      </c>
    </row>
    <row r="4" spans="1:34" ht="15.75" customHeight="1">
      <c r="A4" s="287">
        <v>2024244942467</v>
      </c>
      <c r="B4" s="57" t="s">
        <v>25</v>
      </c>
      <c r="C4" s="57" t="s">
        <v>84</v>
      </c>
      <c r="D4" s="143" t="str">
        <f t="shared" si="0"/>
        <v>Chris Cuppens</v>
      </c>
      <c r="E4" s="108" t="str">
        <f t="shared" si="1"/>
        <v>Chris</v>
      </c>
      <c r="F4" s="58">
        <v>4</v>
      </c>
      <c r="G4" s="238"/>
      <c r="H4" s="170">
        <f t="shared" si="2"/>
        <v>0</v>
      </c>
      <c r="I4" s="252"/>
      <c r="J4" s="252"/>
      <c r="K4" s="252"/>
      <c r="L4" s="252"/>
      <c r="M4" s="252"/>
      <c r="N4" s="252"/>
      <c r="O4" s="252"/>
      <c r="P4" s="252"/>
      <c r="Q4" s="252"/>
      <c r="R4" s="252"/>
      <c r="T4" s="235" t="s">
        <v>2</v>
      </c>
      <c r="X4" s="190">
        <v>4</v>
      </c>
      <c r="Y4" s="87" t="s">
        <v>142</v>
      </c>
      <c r="Z4" s="191" t="b">
        <f>IF(AND(VLOOKUP(Y4,D:F,3,0)&lt;&gt;"A",VLOOKUP(Y4,D:F,3,0)&gt;=Loting!F$1),X4,FALSE)</f>
        <v>0</v>
      </c>
      <c r="AC4" s="59"/>
      <c r="AH4" s="172"/>
    </row>
    <row r="5" spans="1:34" ht="15.75" customHeight="1" thickBot="1">
      <c r="A5" s="287">
        <v>2024253057213</v>
      </c>
      <c r="B5" s="57" t="s">
        <v>125</v>
      </c>
      <c r="C5" s="57" t="s">
        <v>129</v>
      </c>
      <c r="D5" s="143" t="str">
        <f t="shared" si="0"/>
        <v>Christiane De Maesschalck</v>
      </c>
      <c r="E5" s="108" t="str">
        <f t="shared" si="1"/>
        <v>Christiane</v>
      </c>
      <c r="F5" s="58">
        <v>4</v>
      </c>
      <c r="G5" s="238"/>
      <c r="H5" s="170">
        <f t="shared" si="2"/>
        <v>1</v>
      </c>
      <c r="I5" s="50" t="s">
        <v>190</v>
      </c>
      <c r="J5" s="50"/>
      <c r="K5" s="50"/>
      <c r="L5" s="50"/>
      <c r="M5" s="50"/>
      <c r="N5" s="50"/>
      <c r="O5" s="50"/>
      <c r="P5" s="50"/>
      <c r="Q5" s="50"/>
      <c r="R5" s="50"/>
      <c r="T5" s="236" t="s">
        <v>9</v>
      </c>
      <c r="X5" s="190">
        <v>3</v>
      </c>
      <c r="Y5" s="87" t="s">
        <v>126</v>
      </c>
      <c r="Z5" s="191" t="b">
        <f>IF(AND(VLOOKUP(Y5,D:F,3,0)&lt;&gt;"A",VLOOKUP(Y5,D:F,3,0)&gt;=Loting!F$1),X5,FALSE)</f>
        <v>0</v>
      </c>
      <c r="AC5" s="59" t="s">
        <v>45</v>
      </c>
      <c r="AH5" s="172"/>
    </row>
    <row r="6" spans="1:34" ht="15.75" customHeight="1" thickBot="1">
      <c r="A6" s="287">
        <v>2024259600352</v>
      </c>
      <c r="B6" s="57" t="s">
        <v>10</v>
      </c>
      <c r="C6" s="57" t="s">
        <v>32</v>
      </c>
      <c r="D6" s="143" t="str">
        <f t="shared" si="0"/>
        <v>Daniel Bogaert</v>
      </c>
      <c r="E6" s="108" t="str">
        <f t="shared" si="1"/>
        <v>Daniel</v>
      </c>
      <c r="F6" s="58">
        <v>3</v>
      </c>
      <c r="G6" s="238"/>
      <c r="H6" s="170">
        <f t="shared" si="2"/>
        <v>0</v>
      </c>
      <c r="I6" s="50"/>
      <c r="J6" s="50"/>
      <c r="K6" s="50"/>
      <c r="L6" s="50"/>
      <c r="M6" s="50"/>
      <c r="N6" s="50"/>
      <c r="O6" s="50"/>
      <c r="P6" s="50"/>
      <c r="Q6" s="50"/>
      <c r="R6" s="50"/>
      <c r="S6" s="1"/>
      <c r="X6" s="192"/>
      <c r="Y6" s="193"/>
      <c r="Z6" s="194"/>
      <c r="AC6" s="59"/>
      <c r="AH6" s="172"/>
    </row>
    <row r="7" spans="1:34" ht="15.75" customHeight="1">
      <c r="A7" s="287">
        <v>2024264719513</v>
      </c>
      <c r="B7" s="57" t="s">
        <v>26</v>
      </c>
      <c r="C7" s="57" t="s">
        <v>85</v>
      </c>
      <c r="D7" s="143" t="str">
        <f t="shared" si="0"/>
        <v>Daniella Vanhalewyn</v>
      </c>
      <c r="E7" s="108" t="str">
        <f t="shared" si="1"/>
        <v>Daniella</v>
      </c>
      <c r="F7" s="58">
        <v>3</v>
      </c>
      <c r="G7" s="238"/>
      <c r="H7" s="170">
        <f t="shared" si="2"/>
        <v>0</v>
      </c>
      <c r="I7" s="50"/>
      <c r="J7" s="50"/>
      <c r="K7" s="50"/>
      <c r="L7" s="50"/>
      <c r="M7" s="50"/>
      <c r="N7" s="50"/>
      <c r="O7" s="50"/>
      <c r="P7" s="50"/>
      <c r="Q7" s="50"/>
      <c r="R7" s="50"/>
      <c r="AC7" s="72" t="s">
        <v>48</v>
      </c>
      <c r="AD7" s="73" t="s">
        <v>60</v>
      </c>
      <c r="AE7" s="73"/>
      <c r="AF7" s="73"/>
      <c r="AG7" s="73"/>
      <c r="AH7" s="74"/>
    </row>
    <row r="8" spans="1:34" ht="15.75" customHeight="1">
      <c r="A8" s="287">
        <v>2024289662719</v>
      </c>
      <c r="B8" s="57" t="s">
        <v>39</v>
      </c>
      <c r="C8" s="57" t="s">
        <v>40</v>
      </c>
      <c r="D8" s="143" t="str">
        <f t="shared" si="0"/>
        <v>Dirk De Brabander</v>
      </c>
      <c r="E8" s="108" t="str">
        <f t="shared" si="1"/>
        <v>Dirk</v>
      </c>
      <c r="F8" s="58">
        <v>3</v>
      </c>
      <c r="G8" s="238"/>
      <c r="H8" s="170">
        <f t="shared" si="2"/>
        <v>0</v>
      </c>
      <c r="I8" s="50"/>
      <c r="J8" s="50"/>
      <c r="K8" s="50"/>
      <c r="L8" s="50"/>
      <c r="M8" s="50"/>
      <c r="N8" s="50"/>
      <c r="O8" s="50"/>
      <c r="P8" s="50"/>
      <c r="Q8" s="50"/>
      <c r="R8" s="50"/>
      <c r="AC8" s="72" t="s">
        <v>49</v>
      </c>
      <c r="AD8" s="73" t="s">
        <v>61</v>
      </c>
      <c r="AE8" s="73"/>
      <c r="AF8" s="73"/>
      <c r="AG8" s="73"/>
      <c r="AH8" s="74"/>
    </row>
    <row r="9" spans="1:34" ht="15.75" customHeight="1">
      <c r="A9" s="290">
        <v>2025478930404</v>
      </c>
      <c r="B9" s="57" t="s">
        <v>39</v>
      </c>
      <c r="C9" s="57" t="s">
        <v>189</v>
      </c>
      <c r="D9" s="143" t="str">
        <f t="shared" si="0"/>
        <v>Dirk Desante</v>
      </c>
      <c r="E9" s="108" t="str">
        <f t="shared" si="1"/>
        <v>Dirk</v>
      </c>
      <c r="F9" s="58">
        <v>3</v>
      </c>
      <c r="G9" s="238"/>
      <c r="H9" s="170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50</v>
      </c>
      <c r="AD9" s="7" t="s">
        <v>46</v>
      </c>
      <c r="AE9" s="7" t="s">
        <v>63</v>
      </c>
      <c r="AH9" s="172"/>
    </row>
    <row r="10" spans="1:34" ht="15.75" customHeight="1">
      <c r="A10" s="287">
        <v>2024301368896</v>
      </c>
      <c r="B10" s="57" t="s">
        <v>122</v>
      </c>
      <c r="C10" s="57" t="s">
        <v>86</v>
      </c>
      <c r="D10" s="143" t="str">
        <f t="shared" si="0"/>
        <v>Etienne Saveyn</v>
      </c>
      <c r="E10" s="108" t="str">
        <f t="shared" si="1"/>
        <v>Etienne</v>
      </c>
      <c r="F10" s="58">
        <v>3</v>
      </c>
      <c r="G10" s="238"/>
      <c r="H10" s="170">
        <f t="shared" si="2"/>
        <v>0</v>
      </c>
      <c r="I10" s="42"/>
      <c r="J10" s="42"/>
      <c r="K10" s="50"/>
      <c r="L10" s="42"/>
      <c r="M10" s="42"/>
      <c r="N10" s="42"/>
      <c r="O10" s="42"/>
      <c r="P10" s="42"/>
      <c r="Q10" s="42"/>
      <c r="R10" s="42"/>
      <c r="S10" s="1"/>
      <c r="T10" s="171" t="s">
        <v>29</v>
      </c>
      <c r="U10" s="226"/>
      <c r="AC10" s="59" t="s">
        <v>50</v>
      </c>
      <c r="AD10" s="7" t="s">
        <v>140</v>
      </c>
      <c r="AH10" s="172"/>
    </row>
    <row r="11" spans="1:34" ht="15.75" customHeight="1">
      <c r="A11" s="287">
        <v>2024347369024</v>
      </c>
      <c r="B11" s="57" t="s">
        <v>53</v>
      </c>
      <c r="C11" s="57" t="s">
        <v>54</v>
      </c>
      <c r="D11" s="143" t="str">
        <f t="shared" si="0"/>
        <v>Filip Dejans</v>
      </c>
      <c r="E11" s="108" t="str">
        <f t="shared" si="1"/>
        <v>Filip</v>
      </c>
      <c r="F11" s="58">
        <v>4</v>
      </c>
      <c r="G11" s="238"/>
      <c r="H11" s="170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71" t="s">
        <v>30</v>
      </c>
      <c r="U11" s="226"/>
      <c r="AC11" s="59" t="s">
        <v>62</v>
      </c>
      <c r="AD11" s="7" t="s">
        <v>141</v>
      </c>
      <c r="AH11" s="172"/>
    </row>
    <row r="12" spans="1:34" ht="15.75" customHeight="1">
      <c r="A12" s="287">
        <v>2024361945488</v>
      </c>
      <c r="B12" s="57" t="s">
        <v>27</v>
      </c>
      <c r="C12" s="57" t="s">
        <v>87</v>
      </c>
      <c r="D12" s="143" t="str">
        <f t="shared" si="0"/>
        <v>Francine Thienpont</v>
      </c>
      <c r="E12" s="108" t="str">
        <f t="shared" si="1"/>
        <v>Francine</v>
      </c>
      <c r="F12" s="58">
        <v>3</v>
      </c>
      <c r="G12" s="238"/>
      <c r="H12" s="170">
        <f t="shared" si="2"/>
        <v>0</v>
      </c>
      <c r="I12" s="50"/>
      <c r="J12" s="50"/>
      <c r="K12" s="50"/>
      <c r="L12" s="50"/>
      <c r="M12" s="50"/>
      <c r="N12" s="50"/>
      <c r="O12" s="50"/>
      <c r="P12" s="50"/>
      <c r="Q12" s="50"/>
      <c r="R12" s="50"/>
      <c r="X12" s="112"/>
      <c r="AC12" s="59" t="s">
        <v>51</v>
      </c>
      <c r="AD12" s="7" t="s">
        <v>47</v>
      </c>
      <c r="AH12" s="172"/>
    </row>
    <row r="13" spans="1:34" ht="15.75" customHeight="1">
      <c r="A13" s="287">
        <v>2024061580781</v>
      </c>
      <c r="B13" s="57" t="s">
        <v>241</v>
      </c>
      <c r="C13" s="57" t="s">
        <v>242</v>
      </c>
      <c r="D13" s="143" t="str">
        <f t="shared" si="0"/>
        <v>Frans Catteeuw</v>
      </c>
      <c r="E13" s="108" t="str">
        <f t="shared" si="1"/>
        <v>Frans</v>
      </c>
      <c r="F13" s="58">
        <v>3</v>
      </c>
      <c r="G13" s="238"/>
      <c r="H13" s="170">
        <f t="shared" si="2"/>
        <v>0</v>
      </c>
      <c r="I13" s="50"/>
      <c r="J13" s="50"/>
      <c r="K13" s="50"/>
      <c r="L13" s="50"/>
      <c r="M13" s="50"/>
      <c r="N13" s="50"/>
      <c r="O13" s="50"/>
      <c r="P13" s="50"/>
      <c r="Q13" s="50"/>
      <c r="R13" s="50"/>
      <c r="T13" s="171" t="s">
        <v>176</v>
      </c>
      <c r="AC13" s="173"/>
      <c r="AD13" s="174"/>
      <c r="AE13" s="174"/>
      <c r="AF13" s="174"/>
      <c r="AG13" s="174"/>
      <c r="AH13" s="175"/>
    </row>
    <row r="14" spans="1:34" ht="15.75" customHeight="1">
      <c r="A14" s="287">
        <v>2024397306543</v>
      </c>
      <c r="B14" s="57" t="s">
        <v>20</v>
      </c>
      <c r="C14" s="57" t="s">
        <v>88</v>
      </c>
      <c r="D14" s="143" t="str">
        <f t="shared" si="0"/>
        <v>Freddy Moerman</v>
      </c>
      <c r="E14" s="108" t="str">
        <f t="shared" si="1"/>
        <v>Freddy</v>
      </c>
      <c r="F14" s="58" t="s">
        <v>123</v>
      </c>
      <c r="G14" s="238"/>
      <c r="H14" s="170">
        <f t="shared" si="2"/>
        <v>0</v>
      </c>
      <c r="I14" s="50"/>
      <c r="J14" s="50"/>
      <c r="K14" s="50"/>
      <c r="L14" s="50"/>
      <c r="M14" s="50"/>
      <c r="N14" s="50"/>
      <c r="O14" s="50"/>
      <c r="P14" s="50"/>
      <c r="Q14" s="50"/>
      <c r="R14" s="50"/>
      <c r="T14" s="171" t="s">
        <v>177</v>
      </c>
      <c r="W14" s="226"/>
    </row>
    <row r="15" spans="1:34" ht="15.75" customHeight="1">
      <c r="A15" s="287">
        <v>2024407436093</v>
      </c>
      <c r="B15" s="57" t="s">
        <v>72</v>
      </c>
      <c r="C15" s="57" t="s">
        <v>69</v>
      </c>
      <c r="D15" s="143" t="str">
        <f t="shared" si="0"/>
        <v>Georges Tollenaere</v>
      </c>
      <c r="E15" s="108" t="str">
        <f t="shared" si="1"/>
        <v>Georges</v>
      </c>
      <c r="F15" s="58">
        <v>3</v>
      </c>
      <c r="G15" s="238"/>
      <c r="H15" s="170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55</v>
      </c>
      <c r="AD15" s="7" t="s">
        <v>73</v>
      </c>
    </row>
    <row r="16" spans="1:34" ht="15.75" customHeight="1">
      <c r="A16" s="287">
        <v>2024897774514</v>
      </c>
      <c r="B16" s="57" t="s">
        <v>156</v>
      </c>
      <c r="C16" s="57" t="s">
        <v>157</v>
      </c>
      <c r="D16" s="143" t="str">
        <f t="shared" si="0"/>
        <v>Gina Van Den Bossche</v>
      </c>
      <c r="E16" s="108" t="str">
        <f t="shared" si="1"/>
        <v>Gina</v>
      </c>
      <c r="F16" s="58" t="s">
        <v>123</v>
      </c>
      <c r="G16" s="238"/>
      <c r="H16" s="170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77</v>
      </c>
      <c r="AD16" s="7" t="s">
        <v>74</v>
      </c>
    </row>
    <row r="17" spans="1:31" ht="15.75" customHeight="1">
      <c r="A17" s="287">
        <v>2024417949798</v>
      </c>
      <c r="B17" s="57" t="s">
        <v>17</v>
      </c>
      <c r="C17" s="57" t="s">
        <v>89</v>
      </c>
      <c r="D17" s="143" t="str">
        <f t="shared" si="0"/>
        <v>Herman Buysse</v>
      </c>
      <c r="E17" s="108" t="str">
        <f t="shared" si="1"/>
        <v>Herman</v>
      </c>
      <c r="F17" s="58">
        <v>4</v>
      </c>
      <c r="G17" s="238"/>
      <c r="H17" s="170">
        <f t="shared" si="2"/>
        <v>1</v>
      </c>
      <c r="I17" s="50" t="s">
        <v>190</v>
      </c>
      <c r="J17" s="50"/>
      <c r="K17" s="50"/>
      <c r="L17" s="50"/>
      <c r="M17" s="50"/>
      <c r="N17" s="50"/>
      <c r="O17" s="50"/>
      <c r="P17" s="50"/>
      <c r="Q17" s="50"/>
      <c r="R17" s="50"/>
      <c r="AC17" s="7" t="s">
        <v>78</v>
      </c>
      <c r="AD17" s="7" t="s">
        <v>75</v>
      </c>
    </row>
    <row r="18" spans="1:31" ht="15.75" customHeight="1">
      <c r="A18" s="287">
        <v>2024446703811</v>
      </c>
      <c r="B18" s="57" t="s">
        <v>14</v>
      </c>
      <c r="C18" s="57" t="s">
        <v>90</v>
      </c>
      <c r="D18" s="143" t="str">
        <f t="shared" si="0"/>
        <v>Hubert Verplaetse</v>
      </c>
      <c r="E18" s="108" t="str">
        <f t="shared" si="1"/>
        <v>Hubert</v>
      </c>
      <c r="F18" s="58">
        <v>3</v>
      </c>
      <c r="G18" s="238"/>
      <c r="H18" s="170">
        <f t="shared" si="2"/>
        <v>1</v>
      </c>
      <c r="I18" s="50" t="s">
        <v>190</v>
      </c>
      <c r="J18" s="50"/>
      <c r="K18" s="50"/>
      <c r="L18" s="50"/>
      <c r="M18" s="50"/>
      <c r="N18" s="50"/>
      <c r="O18" s="50"/>
      <c r="P18" s="50"/>
      <c r="Q18" s="50"/>
      <c r="R18" s="50"/>
      <c r="AC18" s="7" t="s">
        <v>79</v>
      </c>
      <c r="AD18" s="7" t="s">
        <v>76</v>
      </c>
    </row>
    <row r="19" spans="1:31" ht="15.75" customHeight="1">
      <c r="A19" s="287">
        <v>2024345715762</v>
      </c>
      <c r="B19" s="57" t="s">
        <v>174</v>
      </c>
      <c r="C19" s="57" t="s">
        <v>173</v>
      </c>
      <c r="D19" s="143" t="str">
        <f t="shared" si="0"/>
        <v>Ivan Scheir</v>
      </c>
      <c r="E19" s="108" t="str">
        <f t="shared" si="1"/>
        <v>Ivan</v>
      </c>
      <c r="F19" s="58">
        <v>4</v>
      </c>
      <c r="G19" s="238"/>
      <c r="H19" s="170">
        <f t="shared" si="2"/>
        <v>0</v>
      </c>
      <c r="I19" s="50"/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7">
        <v>2024474115211</v>
      </c>
      <c r="B20" s="57" t="s">
        <v>3</v>
      </c>
      <c r="C20" s="57" t="s">
        <v>31</v>
      </c>
      <c r="D20" s="143" t="str">
        <f t="shared" si="0"/>
        <v>Jacqueline Geubels</v>
      </c>
      <c r="E20" s="108" t="str">
        <f t="shared" si="1"/>
        <v>Jacqueline</v>
      </c>
      <c r="F20" s="58">
        <v>4</v>
      </c>
      <c r="G20" s="238"/>
      <c r="H20" s="170">
        <f t="shared" si="2"/>
        <v>0</v>
      </c>
      <c r="I20" s="50"/>
      <c r="J20" s="50"/>
      <c r="K20" s="50"/>
      <c r="L20" s="50"/>
      <c r="M20" s="50"/>
      <c r="N20" s="50"/>
      <c r="O20" s="50"/>
      <c r="P20" s="50"/>
      <c r="Q20" s="50"/>
      <c r="R20" s="50"/>
    </row>
    <row r="21" spans="1:31" ht="15.75" customHeight="1">
      <c r="A21" s="287">
        <v>2024539863262</v>
      </c>
      <c r="B21" s="57" t="s">
        <v>23</v>
      </c>
      <c r="C21" s="57" t="s">
        <v>91</v>
      </c>
      <c r="D21" s="143" t="str">
        <f t="shared" si="0"/>
        <v>Jacques De Meester</v>
      </c>
      <c r="E21" s="108" t="str">
        <f t="shared" si="1"/>
        <v>Jacques</v>
      </c>
      <c r="F21" s="58">
        <v>4</v>
      </c>
      <c r="G21" s="238"/>
      <c r="H21" s="170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7">
        <v>2024570393490</v>
      </c>
      <c r="B22" s="57" t="s">
        <v>68</v>
      </c>
      <c r="C22" s="57" t="s">
        <v>41</v>
      </c>
      <c r="D22" s="143" t="str">
        <f t="shared" si="0"/>
        <v>JeanM. Van Veirdeghem</v>
      </c>
      <c r="E22" s="108" t="str">
        <f t="shared" si="1"/>
        <v>JeanM.</v>
      </c>
      <c r="F22" s="58">
        <v>4</v>
      </c>
      <c r="G22" s="238"/>
      <c r="H22" s="170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90">
        <v>2024589453932</v>
      </c>
      <c r="B23" s="57" t="s">
        <v>238</v>
      </c>
      <c r="C23" s="57" t="s">
        <v>239</v>
      </c>
      <c r="D23" s="143" t="str">
        <f t="shared" si="0"/>
        <v>Johan Saey</v>
      </c>
      <c r="E23" s="108" t="str">
        <f t="shared" si="1"/>
        <v>Johan</v>
      </c>
      <c r="F23" s="58">
        <v>4</v>
      </c>
      <c r="G23" s="238"/>
      <c r="H23" s="170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132</v>
      </c>
    </row>
    <row r="24" spans="1:31" ht="15.75" customHeight="1">
      <c r="A24" s="287">
        <v>2025926312752</v>
      </c>
      <c r="B24" s="287" t="s">
        <v>187</v>
      </c>
      <c r="C24" s="87" t="s">
        <v>188</v>
      </c>
      <c r="D24" s="143" t="str">
        <f t="shared" si="0"/>
        <v>Jozef Van Landeghem</v>
      </c>
      <c r="E24" s="108" t="str">
        <f t="shared" si="1"/>
        <v>Jozef</v>
      </c>
      <c r="F24" s="58">
        <v>4</v>
      </c>
      <c r="G24" s="238"/>
      <c r="H24" s="170">
        <f t="shared" si="2"/>
        <v>0</v>
      </c>
      <c r="T24" s="7" t="s">
        <v>132</v>
      </c>
    </row>
    <row r="25" spans="1:31" ht="15.75" customHeight="1">
      <c r="A25" s="287">
        <v>2024573180226</v>
      </c>
      <c r="B25" s="57" t="s">
        <v>124</v>
      </c>
      <c r="C25" s="57" t="s">
        <v>128</v>
      </c>
      <c r="D25" s="143" t="str">
        <f t="shared" ref="D25:D49" si="3">B25&amp;" "&amp;C25</f>
        <v>Julien Herrebaut</v>
      </c>
      <c r="E25" s="108" t="str">
        <f t="shared" si="1"/>
        <v>Julien</v>
      </c>
      <c r="F25" s="58">
        <v>4</v>
      </c>
      <c r="G25" s="238"/>
      <c r="H25" s="170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3"/>
      <c r="AE25" s="113"/>
    </row>
    <row r="26" spans="1:31" ht="15.75" customHeight="1">
      <c r="A26" s="287">
        <v>2024592020688</v>
      </c>
      <c r="B26" s="57" t="s">
        <v>13</v>
      </c>
      <c r="C26" s="57" t="s">
        <v>92</v>
      </c>
      <c r="D26" s="143" t="str">
        <f t="shared" si="3"/>
        <v>Lucien Van Peteghem</v>
      </c>
      <c r="E26" s="108" t="str">
        <f t="shared" si="1"/>
        <v>Lucien</v>
      </c>
      <c r="F26" s="58">
        <v>4</v>
      </c>
      <c r="G26" s="238"/>
      <c r="H26" s="170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3"/>
    </row>
    <row r="27" spans="1:31" ht="15.75" customHeight="1">
      <c r="A27" s="287">
        <v>2024593209167</v>
      </c>
      <c r="B27" s="57" t="s">
        <v>102</v>
      </c>
      <c r="C27" s="57" t="s">
        <v>103</v>
      </c>
      <c r="D27" s="143" t="str">
        <f t="shared" si="3"/>
        <v>Lutgarde Vanderhaegen</v>
      </c>
      <c r="E27" s="108" t="str">
        <f t="shared" si="1"/>
        <v>Lutgarde</v>
      </c>
      <c r="F27" s="58">
        <v>3</v>
      </c>
      <c r="G27" s="238"/>
      <c r="H27" s="170">
        <f t="shared" si="2"/>
        <v>0</v>
      </c>
      <c r="I27" s="50"/>
      <c r="J27" s="50"/>
      <c r="K27" s="50"/>
      <c r="L27" s="50"/>
      <c r="M27" s="50"/>
      <c r="N27" s="50"/>
      <c r="O27" s="50"/>
      <c r="P27" s="50"/>
      <c r="Q27" s="50"/>
      <c r="R27" s="50"/>
      <c r="AD27" s="113"/>
      <c r="AE27" s="113"/>
    </row>
    <row r="28" spans="1:31" ht="15.75" customHeight="1">
      <c r="A28" s="287">
        <v>2024612640223</v>
      </c>
      <c r="B28" s="57" t="s">
        <v>81</v>
      </c>
      <c r="C28" s="57" t="s">
        <v>82</v>
      </c>
      <c r="D28" s="143" t="str">
        <f t="shared" si="3"/>
        <v>Lydie Ysveld</v>
      </c>
      <c r="E28" s="108" t="str">
        <f t="shared" si="1"/>
        <v>Lydie</v>
      </c>
      <c r="F28" s="58" t="s">
        <v>123</v>
      </c>
      <c r="G28" s="238"/>
      <c r="H28" s="170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7">
        <v>2024102180710</v>
      </c>
      <c r="B29" s="57" t="s">
        <v>154</v>
      </c>
      <c r="C29" s="57" t="s">
        <v>159</v>
      </c>
      <c r="D29" s="143" t="str">
        <f t="shared" si="3"/>
        <v>Marc Ediers</v>
      </c>
      <c r="E29" s="108" t="str">
        <f t="shared" si="1"/>
        <v>Marc</v>
      </c>
      <c r="F29" s="58" t="s">
        <v>123</v>
      </c>
      <c r="G29" s="238"/>
      <c r="H29" s="170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3"/>
      <c r="AE29" s="113"/>
    </row>
    <row r="30" spans="1:31" ht="15.75" customHeight="1">
      <c r="A30" s="287">
        <v>2024614807303</v>
      </c>
      <c r="B30" s="57" t="s">
        <v>70</v>
      </c>
      <c r="C30" s="57" t="s">
        <v>71</v>
      </c>
      <c r="D30" s="143" t="str">
        <f t="shared" si="3"/>
        <v>Marguerite Van Hende</v>
      </c>
      <c r="E30" s="108" t="str">
        <f t="shared" si="1"/>
        <v>Marguerite</v>
      </c>
      <c r="F30" s="58">
        <v>3</v>
      </c>
      <c r="G30" s="238"/>
      <c r="H30" s="170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7">
        <v>2024664149804</v>
      </c>
      <c r="B31" s="57" t="s">
        <v>21</v>
      </c>
      <c r="C31" s="57" t="s">
        <v>93</v>
      </c>
      <c r="D31" s="143" t="str">
        <f t="shared" si="3"/>
        <v>Marleen Denert</v>
      </c>
      <c r="E31" s="108" t="str">
        <f t="shared" si="1"/>
        <v>Marleen</v>
      </c>
      <c r="F31" s="58">
        <v>4</v>
      </c>
      <c r="G31" s="238"/>
      <c r="H31" s="170">
        <f t="shared" si="2"/>
        <v>1</v>
      </c>
      <c r="I31" s="50" t="s">
        <v>190</v>
      </c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7">
        <v>2024685370591</v>
      </c>
      <c r="B32" s="57" t="s">
        <v>18</v>
      </c>
      <c r="C32" s="57" t="s">
        <v>94</v>
      </c>
      <c r="D32" s="143" t="str">
        <f t="shared" si="3"/>
        <v>Michel Van Laere</v>
      </c>
      <c r="E32" s="108" t="str">
        <f t="shared" si="1"/>
        <v>Michel</v>
      </c>
      <c r="F32" s="58">
        <v>4</v>
      </c>
      <c r="G32" s="238"/>
      <c r="H32" s="170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7">
        <v>2024695852261</v>
      </c>
      <c r="B33" s="57" t="s">
        <v>19</v>
      </c>
      <c r="C33" s="57" t="s">
        <v>95</v>
      </c>
      <c r="D33" s="143" t="str">
        <f t="shared" si="3"/>
        <v>Nestor Meirte</v>
      </c>
      <c r="E33" s="108" t="str">
        <f t="shared" si="1"/>
        <v>Nestor</v>
      </c>
      <c r="F33" s="58">
        <v>3</v>
      </c>
      <c r="G33" s="238"/>
      <c r="H33" s="170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7">
        <v>2024703804244</v>
      </c>
      <c r="B34" s="57" t="s">
        <v>16</v>
      </c>
      <c r="C34" s="57" t="s">
        <v>96</v>
      </c>
      <c r="D34" s="143" t="str">
        <f t="shared" si="3"/>
        <v>Patrick Geys</v>
      </c>
      <c r="E34" s="108" t="str">
        <f t="shared" si="1"/>
        <v>Patrick</v>
      </c>
      <c r="F34" s="58">
        <v>4</v>
      </c>
      <c r="G34" s="238"/>
      <c r="H34" s="170">
        <f t="shared" si="2"/>
        <v>1</v>
      </c>
      <c r="I34" s="50" t="s">
        <v>190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7">
        <v>2024799335530</v>
      </c>
      <c r="B35" s="57" t="s">
        <v>42</v>
      </c>
      <c r="C35" s="57" t="s">
        <v>43</v>
      </c>
      <c r="D35" s="143" t="str">
        <f t="shared" si="3"/>
        <v>Philippe Vergote</v>
      </c>
      <c r="E35" s="108" t="str">
        <f t="shared" ref="E35:E52" si="4">_xlfn.TEXTBEFORE(D35," ")</f>
        <v>Philippe</v>
      </c>
      <c r="F35" s="58" t="s">
        <v>123</v>
      </c>
      <c r="G35" s="238"/>
      <c r="H35" s="170">
        <f t="shared" ref="H35:H51" si="5">COUNTIF(I35:S35,"R")</f>
        <v>1</v>
      </c>
      <c r="I35" s="50" t="s">
        <v>190</v>
      </c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7">
        <v>2024812304109</v>
      </c>
      <c r="B36" s="57" t="s">
        <v>28</v>
      </c>
      <c r="C36" s="57" t="s">
        <v>97</v>
      </c>
      <c r="D36" s="143" t="str">
        <f t="shared" si="3"/>
        <v>Pol Callebert</v>
      </c>
      <c r="E36" s="108" t="str">
        <f t="shared" si="4"/>
        <v>Pol</v>
      </c>
      <c r="F36" s="58">
        <v>3</v>
      </c>
      <c r="G36" s="238"/>
      <c r="H36" s="170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7">
        <v>2024814433142</v>
      </c>
      <c r="B37" s="57" t="s">
        <v>22</v>
      </c>
      <c r="C37" s="57" t="s">
        <v>98</v>
      </c>
      <c r="D37" s="143" t="str">
        <f t="shared" si="3"/>
        <v>Regina De Pauw</v>
      </c>
      <c r="E37" s="108" t="str">
        <f t="shared" si="4"/>
        <v>Regina</v>
      </c>
      <c r="F37" s="58">
        <v>4</v>
      </c>
      <c r="G37" s="238"/>
      <c r="H37" s="170">
        <f t="shared" si="5"/>
        <v>0</v>
      </c>
      <c r="I37" s="50"/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7">
        <v>2024850547087</v>
      </c>
      <c r="B38" s="57" t="s">
        <v>101</v>
      </c>
      <c r="C38" s="57" t="s">
        <v>44</v>
      </c>
      <c r="D38" s="143" t="str">
        <f t="shared" si="3"/>
        <v>Rik Malfliet</v>
      </c>
      <c r="E38" s="108" t="str">
        <f t="shared" si="4"/>
        <v>Rik</v>
      </c>
      <c r="F38" s="58" t="s">
        <v>123</v>
      </c>
      <c r="G38" s="238"/>
      <c r="H38" s="170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7">
        <v>2024244055105</v>
      </c>
      <c r="B39" s="57" t="s">
        <v>192</v>
      </c>
      <c r="C39" s="57" t="s">
        <v>160</v>
      </c>
      <c r="D39" s="143" t="str">
        <f t="shared" si="3"/>
        <v>Rita Van Helleputte</v>
      </c>
      <c r="E39" s="108" t="str">
        <f t="shared" si="4"/>
        <v>Rita</v>
      </c>
      <c r="F39" s="58">
        <v>3</v>
      </c>
      <c r="G39" s="238"/>
      <c r="H39" s="170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7">
        <v>2024883590098</v>
      </c>
      <c r="B40" s="57" t="s">
        <v>24</v>
      </c>
      <c r="C40" s="57" t="s">
        <v>99</v>
      </c>
      <c r="D40" s="143" t="str">
        <f t="shared" si="3"/>
        <v>Roger Schietse</v>
      </c>
      <c r="E40" s="108" t="str">
        <f t="shared" si="4"/>
        <v>Roger</v>
      </c>
      <c r="F40" s="58" t="s">
        <v>123</v>
      </c>
      <c r="G40" s="238"/>
      <c r="H40" s="170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7">
        <v>2024890409789</v>
      </c>
      <c r="B41" s="57" t="s">
        <v>24</v>
      </c>
      <c r="C41" s="57" t="s">
        <v>92</v>
      </c>
      <c r="D41" s="143" t="str">
        <f t="shared" si="3"/>
        <v>Roger Van Peteghem</v>
      </c>
      <c r="E41" s="108" t="str">
        <f t="shared" si="4"/>
        <v>Roger</v>
      </c>
      <c r="F41" s="58">
        <v>3</v>
      </c>
      <c r="G41" s="238"/>
      <c r="H41" s="170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7">
        <v>2024483011399</v>
      </c>
      <c r="B42" s="57" t="s">
        <v>152</v>
      </c>
      <c r="C42" s="57" t="s">
        <v>151</v>
      </c>
      <c r="D42" s="143" t="str">
        <f t="shared" si="3"/>
        <v>Rosane Biasino</v>
      </c>
      <c r="E42" s="108" t="str">
        <f t="shared" si="4"/>
        <v>Rosane</v>
      </c>
      <c r="F42" s="58">
        <v>4</v>
      </c>
      <c r="G42" s="238"/>
      <c r="H42" s="170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7">
        <v>2024893485131</v>
      </c>
      <c r="B43" s="57" t="s">
        <v>12</v>
      </c>
      <c r="C43" s="57" t="s">
        <v>100</v>
      </c>
      <c r="D43" s="143" t="str">
        <f t="shared" si="3"/>
        <v>Simonne Pauwels</v>
      </c>
      <c r="E43" s="108" t="str">
        <f t="shared" si="4"/>
        <v>Simonne</v>
      </c>
      <c r="F43" s="58">
        <v>3</v>
      </c>
      <c r="G43" s="238"/>
      <c r="H43" s="170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7">
        <v>2024615078207</v>
      </c>
      <c r="B44" s="57" t="s">
        <v>161</v>
      </c>
      <c r="C44" s="57" t="s">
        <v>191</v>
      </c>
      <c r="D44" s="143" t="str">
        <f t="shared" si="3"/>
        <v>Stan Astaes</v>
      </c>
      <c r="E44" s="108" t="str">
        <f t="shared" si="4"/>
        <v>Stan</v>
      </c>
      <c r="F44" s="58">
        <v>3</v>
      </c>
      <c r="G44" s="238"/>
      <c r="H44" s="170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7">
        <v>2024095588555</v>
      </c>
      <c r="B45" s="57" t="s">
        <v>155</v>
      </c>
      <c r="C45" s="57" t="s">
        <v>162</v>
      </c>
      <c r="D45" s="143" t="str">
        <f t="shared" si="3"/>
        <v>Suzanne Muijters</v>
      </c>
      <c r="E45" s="108" t="str">
        <f t="shared" si="4"/>
        <v>Suzanne</v>
      </c>
      <c r="F45" s="58">
        <v>3</v>
      </c>
      <c r="G45" s="238"/>
      <c r="H45" s="170">
        <f t="shared" si="5"/>
        <v>0</v>
      </c>
      <c r="J45" s="176"/>
    </row>
    <row r="46" spans="1:18" ht="15.75" customHeight="1">
      <c r="A46" s="287">
        <v>2024908578193</v>
      </c>
      <c r="B46" s="57" t="s">
        <v>58</v>
      </c>
      <c r="C46" s="57" t="s">
        <v>59</v>
      </c>
      <c r="D46" s="143" t="str">
        <f t="shared" si="3"/>
        <v>Tony Criel</v>
      </c>
      <c r="E46" s="108" t="str">
        <f t="shared" si="4"/>
        <v>Tony</v>
      </c>
      <c r="F46" s="58">
        <v>4</v>
      </c>
      <c r="G46" s="238"/>
      <c r="H46" s="170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7">
        <v>2024930999577</v>
      </c>
      <c r="B47" s="57" t="s">
        <v>15</v>
      </c>
      <c r="C47" s="57" t="s">
        <v>86</v>
      </c>
      <c r="D47" s="143" t="str">
        <f t="shared" si="3"/>
        <v>Walter Saveyn</v>
      </c>
      <c r="E47" s="108" t="str">
        <f t="shared" si="4"/>
        <v>Walter</v>
      </c>
      <c r="F47" s="58">
        <v>4</v>
      </c>
      <c r="G47" s="238"/>
      <c r="H47" s="170">
        <f t="shared" si="5"/>
        <v>0</v>
      </c>
      <c r="I47" s="50"/>
      <c r="J47" s="50"/>
      <c r="K47" s="50"/>
      <c r="L47" s="50"/>
      <c r="M47" s="50"/>
      <c r="N47" s="50"/>
      <c r="O47" s="50"/>
      <c r="P47" s="50"/>
      <c r="Q47" s="50"/>
      <c r="R47" s="50"/>
    </row>
    <row r="48" spans="1:18" ht="15.75" customHeight="1">
      <c r="A48" s="287">
        <v>2024011552646</v>
      </c>
      <c r="B48" s="57" t="s">
        <v>153</v>
      </c>
      <c r="C48" s="57" t="s">
        <v>158</v>
      </c>
      <c r="D48" s="143" t="str">
        <f t="shared" si="3"/>
        <v>Willy Duwyn</v>
      </c>
      <c r="E48" s="108" t="str">
        <f t="shared" si="4"/>
        <v>Willy</v>
      </c>
      <c r="F48" s="58">
        <v>3</v>
      </c>
      <c r="G48" s="238"/>
      <c r="H48" s="170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7">
        <v>2024938422794</v>
      </c>
      <c r="B49" s="57" t="s">
        <v>11</v>
      </c>
      <c r="C49" s="57" t="s">
        <v>92</v>
      </c>
      <c r="D49" s="143" t="str">
        <f t="shared" si="3"/>
        <v>Wim Van Peteghem</v>
      </c>
      <c r="E49" s="108" t="str">
        <f t="shared" si="4"/>
        <v>Wim</v>
      </c>
      <c r="F49" s="58">
        <v>3</v>
      </c>
      <c r="G49" s="238"/>
      <c r="H49" s="170">
        <f t="shared" si="5"/>
        <v>0</v>
      </c>
      <c r="I49" s="50"/>
      <c r="J49" s="50"/>
      <c r="K49" s="50"/>
      <c r="L49" s="50"/>
      <c r="M49" s="50"/>
      <c r="N49" s="50"/>
      <c r="O49" s="50"/>
      <c r="P49" s="50"/>
      <c r="Q49" s="50"/>
      <c r="R49" s="50"/>
    </row>
    <row r="50" spans="1:18" ht="15.75" customHeight="1">
      <c r="A50" s="287">
        <v>2025036836282</v>
      </c>
      <c r="B50" s="57" t="s">
        <v>163</v>
      </c>
      <c r="D50" s="143" t="str">
        <f t="shared" ref="D50:D51" si="6">B50&amp;" "&amp;C50</f>
        <v xml:space="preserve">ZZAnnie </v>
      </c>
      <c r="E50" s="108" t="str">
        <f t="shared" si="4"/>
        <v>ZZAnnie</v>
      </c>
      <c r="F50" s="58" t="s">
        <v>123</v>
      </c>
      <c r="G50" s="238"/>
      <c r="H50" s="170">
        <f t="shared" si="5"/>
        <v>0</v>
      </c>
      <c r="I50" s="249"/>
      <c r="J50" s="249"/>
      <c r="K50" s="249"/>
      <c r="L50" s="249"/>
      <c r="M50" s="249"/>
      <c r="N50" s="249"/>
      <c r="O50" s="249"/>
      <c r="P50" s="249"/>
      <c r="Q50" s="249"/>
      <c r="R50" s="249"/>
    </row>
    <row r="51" spans="1:18" ht="15.75" customHeight="1">
      <c r="B51" s="57"/>
      <c r="D51" s="143" t="str">
        <f t="shared" si="6"/>
        <v xml:space="preserve"> </v>
      </c>
      <c r="E51" s="108" t="str">
        <f t="shared" si="4"/>
        <v/>
      </c>
      <c r="F51" s="58" t="s">
        <v>123</v>
      </c>
      <c r="G51" s="238"/>
      <c r="H51" s="170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B52" s="57"/>
      <c r="C52" s="57"/>
      <c r="D52" s="143" t="str">
        <f>B52&amp;" "&amp;C52</f>
        <v xml:space="preserve"> </v>
      </c>
      <c r="E52" s="108" t="str">
        <f t="shared" si="4"/>
        <v/>
      </c>
      <c r="F52" s="58" t="s">
        <v>123</v>
      </c>
      <c r="G52" s="238"/>
      <c r="H52" s="170"/>
      <c r="I52" s="50"/>
      <c r="J52" s="50"/>
      <c r="K52" s="50"/>
      <c r="L52" s="50"/>
      <c r="M52" s="50"/>
      <c r="N52" s="50"/>
      <c r="O52" s="50"/>
      <c r="P52" s="50"/>
      <c r="Q52" s="50"/>
      <c r="R52" s="50"/>
    </row>
    <row r="53" spans="1:18" ht="15.75" customHeight="1">
      <c r="C53" s="57"/>
      <c r="D53" s="143"/>
      <c r="E53" s="108"/>
      <c r="F53" s="58" t="s">
        <v>123</v>
      </c>
      <c r="G53" s="238"/>
      <c r="H53" s="170">
        <f>COUNTIF(I53:S53,"R")</f>
        <v>0</v>
      </c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D54" s="143"/>
      <c r="E54" s="108"/>
      <c r="F54" s="58" t="s">
        <v>123</v>
      </c>
      <c r="G54" s="238"/>
      <c r="H54" s="170">
        <f>COUNTIF(I54:S54,"R")</f>
        <v>0</v>
      </c>
      <c r="I54" s="50"/>
      <c r="J54" s="50"/>
      <c r="K54" s="50"/>
      <c r="L54" s="50"/>
      <c r="M54" s="50"/>
      <c r="N54" s="50"/>
      <c r="O54" s="50"/>
      <c r="P54" s="50"/>
      <c r="Q54" s="50"/>
      <c r="R54" s="50"/>
    </row>
    <row r="55" spans="1:18" s="247" customFormat="1" ht="15.75" customHeight="1">
      <c r="A55" s="7"/>
      <c r="B55" s="57"/>
      <c r="C55" s="241"/>
      <c r="D55" s="242"/>
      <c r="E55" s="243"/>
      <c r="F55" s="241"/>
      <c r="G55" s="244"/>
      <c r="H55" s="245"/>
      <c r="I55" s="246"/>
      <c r="J55" s="246"/>
      <c r="K55" s="246"/>
      <c r="L55" s="246"/>
      <c r="M55" s="246"/>
      <c r="N55" s="246"/>
      <c r="O55" s="246"/>
      <c r="P55" s="246"/>
      <c r="Q55" s="246"/>
      <c r="R55" s="246"/>
    </row>
    <row r="56" spans="1:18" ht="15.75" customHeight="1">
      <c r="B56" s="57"/>
      <c r="C56" s="270"/>
      <c r="D56" s="271"/>
      <c r="E56" s="108"/>
      <c r="F56" s="272"/>
      <c r="G56" s="238"/>
      <c r="H56" s="170"/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291"/>
      <c r="C57" s="280"/>
      <c r="D57" s="281"/>
      <c r="E57" s="282"/>
      <c r="F57" s="283"/>
      <c r="G57" s="269"/>
      <c r="H57" s="170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91"/>
      <c r="C58" s="284"/>
      <c r="D58" s="281"/>
      <c r="E58" s="282"/>
      <c r="F58" s="283"/>
      <c r="G58" s="269"/>
      <c r="H58" s="170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57"/>
      <c r="C59" s="273"/>
      <c r="D59" s="274"/>
      <c r="E59" s="275"/>
      <c r="F59" s="41"/>
      <c r="G59" s="238"/>
      <c r="H59" s="170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57"/>
      <c r="D60" s="143"/>
      <c r="E60" s="108"/>
      <c r="F60" s="58"/>
      <c r="G60" s="238"/>
      <c r="H60" s="170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3"/>
      <c r="E61" s="108"/>
      <c r="F61" s="58"/>
      <c r="G61" s="238"/>
      <c r="H61" s="170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3"/>
      <c r="E62" s="108"/>
      <c r="F62" s="58"/>
      <c r="G62" s="238"/>
      <c r="H62" s="170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3"/>
      <c r="E63" s="108"/>
      <c r="F63" s="58"/>
      <c r="G63" s="238"/>
      <c r="H63" s="170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3"/>
      <c r="E64" s="108"/>
      <c r="F64" s="58"/>
      <c r="G64" s="238"/>
      <c r="H64" s="170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3"/>
      <c r="E65" s="91"/>
      <c r="F65" s="58"/>
      <c r="G65" s="238"/>
      <c r="H65" s="17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9"/>
    </row>
    <row r="66" spans="1:19" ht="15.75" customHeight="1">
      <c r="B66" s="57"/>
      <c r="C66" s="57"/>
      <c r="D66" s="143"/>
      <c r="E66" s="91"/>
      <c r="F66" s="58"/>
      <c r="G66" s="238"/>
      <c r="H66" s="17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3"/>
      <c r="E67" s="91"/>
      <c r="F67" s="58"/>
      <c r="G67" s="238"/>
      <c r="H67" s="17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3"/>
      <c r="E68" s="91"/>
      <c r="F68" s="58"/>
      <c r="G68" s="238"/>
      <c r="H68" s="17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3"/>
      <c r="E69" s="91"/>
      <c r="F69" s="58"/>
      <c r="G69" s="238"/>
      <c r="H69" s="170"/>
      <c r="I69" s="21"/>
      <c r="J69" s="21"/>
      <c r="K69" s="200"/>
      <c r="L69" s="21"/>
      <c r="M69" s="21"/>
      <c r="N69" s="21"/>
      <c r="O69" s="21"/>
      <c r="P69" s="21"/>
      <c r="Q69" s="21"/>
      <c r="R69" s="21"/>
    </row>
    <row r="70" spans="1:19" s="1" customFormat="1" ht="18.75">
      <c r="A70" s="287"/>
      <c r="B70" s="57"/>
      <c r="C70" s="57"/>
      <c r="D70" s="143"/>
      <c r="E70" s="91"/>
      <c r="F70" s="58"/>
      <c r="G70" s="238"/>
      <c r="H70" s="170"/>
      <c r="I70" s="21"/>
      <c r="J70" s="21"/>
      <c r="K70" s="200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7"/>
      <c r="B71" s="57"/>
      <c r="C71" s="57"/>
      <c r="D71" s="143"/>
      <c r="E71" s="91"/>
      <c r="F71" s="58"/>
      <c r="G71" s="238"/>
      <c r="H71" s="170"/>
      <c r="I71" s="21"/>
      <c r="J71" s="21"/>
      <c r="K71" s="200"/>
      <c r="L71" s="21"/>
      <c r="M71" s="21"/>
      <c r="N71" s="21"/>
      <c r="O71" s="21"/>
      <c r="P71" s="21"/>
      <c r="Q71" s="21"/>
      <c r="R71" s="21"/>
    </row>
    <row r="72" spans="1:19" s="1" customFormat="1" ht="18">
      <c r="A72" s="287"/>
      <c r="B72" s="87"/>
      <c r="C72" s="87"/>
      <c r="D72" s="142"/>
      <c r="E72" s="177"/>
      <c r="F72" s="179"/>
      <c r="G72" s="239"/>
      <c r="H72" s="170"/>
      <c r="I72" s="87"/>
      <c r="J72" s="176"/>
      <c r="K72" s="141"/>
      <c r="L72" s="87"/>
      <c r="M72" s="87"/>
      <c r="N72" s="87"/>
      <c r="O72" s="87"/>
      <c r="P72" s="87"/>
      <c r="Q72" s="87"/>
      <c r="R72" s="87"/>
    </row>
    <row r="73" spans="1:19" s="1" customFormat="1" ht="18.75">
      <c r="A73" s="287"/>
      <c r="B73" s="57"/>
      <c r="C73" s="57"/>
      <c r="D73" s="143"/>
      <c r="E73" s="91"/>
      <c r="F73" s="58"/>
      <c r="G73" s="238"/>
      <c r="H73" s="170"/>
      <c r="I73" s="21"/>
      <c r="J73" s="21"/>
      <c r="K73" s="200"/>
      <c r="L73" s="21"/>
      <c r="M73" s="21"/>
      <c r="N73" s="21"/>
      <c r="O73" s="21"/>
      <c r="P73" s="21"/>
      <c r="Q73" s="21"/>
      <c r="R73" s="21"/>
    </row>
    <row r="74" spans="1:19" s="1" customFormat="1" ht="18.75">
      <c r="A74" s="287"/>
      <c r="B74" s="57"/>
      <c r="C74" s="57"/>
      <c r="D74" s="143"/>
      <c r="E74" s="91"/>
      <c r="F74" s="58"/>
      <c r="G74" s="238"/>
      <c r="H74" s="170"/>
      <c r="I74" s="21"/>
      <c r="J74" s="21"/>
      <c r="K74" s="200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7"/>
      <c r="B75" s="57"/>
      <c r="C75" s="178"/>
      <c r="D75" s="144"/>
      <c r="E75" s="92"/>
      <c r="F75" s="58"/>
      <c r="G75" s="238"/>
      <c r="H75" s="170"/>
      <c r="I75" s="63"/>
      <c r="J75" s="63"/>
      <c r="K75" s="201"/>
      <c r="L75" s="63"/>
      <c r="M75" s="63"/>
      <c r="N75" s="63"/>
      <c r="O75" s="63"/>
      <c r="P75" s="63"/>
      <c r="Q75" s="63"/>
      <c r="R75" s="63"/>
    </row>
    <row r="76" spans="1:19" s="1" customFormat="1" ht="18.75">
      <c r="A76" s="292"/>
      <c r="B76" s="57"/>
      <c r="C76" s="57"/>
      <c r="D76" s="143"/>
      <c r="E76" s="91"/>
      <c r="F76" s="58"/>
      <c r="G76" s="238"/>
      <c r="H76" s="170"/>
      <c r="I76" s="21"/>
      <c r="J76" s="21"/>
      <c r="K76" s="200"/>
      <c r="L76" s="21"/>
      <c r="M76" s="21"/>
      <c r="N76" s="21"/>
      <c r="O76" s="21"/>
      <c r="P76" s="21"/>
      <c r="Q76" s="21"/>
      <c r="R76" s="21"/>
    </row>
    <row r="77" spans="1:19" s="1" customFormat="1" ht="15.75">
      <c r="A77" s="292"/>
      <c r="B77" s="21"/>
      <c r="C77" s="21"/>
      <c r="D77" s="142"/>
      <c r="E77" s="109"/>
      <c r="F77" s="58"/>
      <c r="G77" s="238"/>
      <c r="H77" s="170"/>
      <c r="I77" s="21"/>
      <c r="J77" s="21"/>
      <c r="K77" s="200"/>
      <c r="L77" s="21"/>
      <c r="M77" s="21"/>
      <c r="N77" s="21"/>
      <c r="O77" s="21"/>
      <c r="P77" s="21"/>
      <c r="Q77" s="21"/>
      <c r="R77" s="21"/>
    </row>
    <row r="78" spans="1:19" s="1" customFormat="1" ht="15.75">
      <c r="A78" s="292"/>
      <c r="B78" s="21"/>
      <c r="C78" s="21"/>
      <c r="D78" s="142"/>
      <c r="E78" s="109"/>
      <c r="F78" s="58"/>
      <c r="G78" s="238"/>
      <c r="H78" s="170"/>
      <c r="I78" s="21"/>
      <c r="J78" s="21"/>
      <c r="K78" s="200"/>
      <c r="L78" s="21"/>
      <c r="M78" s="21"/>
      <c r="N78" s="21"/>
      <c r="O78" s="21"/>
      <c r="P78" s="21"/>
      <c r="Q78" s="21"/>
      <c r="R78" s="21"/>
    </row>
    <row r="79" spans="1:19" s="1" customFormat="1" ht="15.75">
      <c r="A79" s="292"/>
      <c r="B79" s="21"/>
      <c r="C79" s="21"/>
      <c r="D79" s="142"/>
      <c r="E79" s="109"/>
      <c r="F79" s="58"/>
      <c r="G79" s="238"/>
      <c r="H79" s="170"/>
      <c r="I79" s="21"/>
      <c r="J79" s="21"/>
      <c r="K79" s="200"/>
      <c r="L79" s="21"/>
      <c r="M79" s="21"/>
      <c r="N79" s="21"/>
      <c r="O79" s="21"/>
      <c r="P79" s="21"/>
      <c r="Q79" s="21"/>
      <c r="R79" s="21"/>
    </row>
    <row r="80" spans="1:19" s="1" customFormat="1" ht="15.75">
      <c r="A80" s="292"/>
      <c r="B80" s="21"/>
      <c r="C80" s="21"/>
      <c r="D80" s="142"/>
      <c r="E80" s="110"/>
      <c r="F80" s="41"/>
      <c r="G80" s="238"/>
      <c r="H80" s="180"/>
      <c r="I80" s="21"/>
      <c r="J80" s="21"/>
      <c r="K80" s="200"/>
      <c r="L80" s="21"/>
      <c r="M80" s="21"/>
      <c r="N80" s="21"/>
      <c r="O80" s="21"/>
      <c r="P80" s="21"/>
      <c r="Q80" s="21"/>
      <c r="R80" s="21"/>
    </row>
    <row r="81" spans="1:18" s="1" customFormat="1" ht="15.75">
      <c r="A81" s="292"/>
      <c r="B81" s="21"/>
      <c r="C81" s="21"/>
      <c r="D81" s="142"/>
      <c r="E81" s="110"/>
      <c r="F81" s="41"/>
      <c r="G81" s="238"/>
      <c r="H81" s="180"/>
      <c r="I81" s="21"/>
      <c r="J81" s="21"/>
      <c r="K81" s="200"/>
      <c r="L81" s="21"/>
      <c r="M81" s="21"/>
      <c r="N81" s="21"/>
      <c r="O81" s="21"/>
      <c r="P81" s="21"/>
      <c r="Q81" s="21"/>
      <c r="R81" s="21"/>
    </row>
    <row r="82" spans="1:18" s="1" customFormat="1" ht="15.75">
      <c r="A82" s="292"/>
      <c r="B82" s="21"/>
      <c r="C82" s="21"/>
      <c r="D82" s="142"/>
      <c r="E82" s="110"/>
      <c r="F82" s="41"/>
      <c r="G82" s="238"/>
      <c r="H82" s="180"/>
      <c r="I82" s="21"/>
      <c r="J82" s="21"/>
      <c r="K82" s="200"/>
      <c r="L82" s="21"/>
      <c r="M82" s="21"/>
      <c r="N82" s="21"/>
      <c r="O82" s="21"/>
      <c r="P82" s="21"/>
      <c r="Q82" s="21"/>
      <c r="R82" s="21"/>
    </row>
    <row r="83" spans="1:18" s="1" customFormat="1">
      <c r="A83" s="292"/>
      <c r="B83" s="21"/>
      <c r="C83" s="21"/>
      <c r="D83" s="142"/>
      <c r="E83" s="109"/>
      <c r="F83" s="22"/>
      <c r="G83" s="240"/>
      <c r="H83" s="180"/>
      <c r="I83" s="21"/>
      <c r="J83" s="21"/>
      <c r="K83" s="200"/>
      <c r="L83" s="21"/>
      <c r="M83" s="21"/>
      <c r="N83" s="21"/>
      <c r="O83" s="21"/>
      <c r="P83" s="21"/>
      <c r="Q83" s="21"/>
      <c r="R83" s="21"/>
    </row>
    <row r="84" spans="1:18" s="1" customFormat="1">
      <c r="A84" s="292"/>
      <c r="B84" s="21"/>
      <c r="C84" s="21"/>
      <c r="D84" s="142"/>
      <c r="E84" s="109"/>
      <c r="F84" s="22"/>
      <c r="G84" s="240"/>
      <c r="H84" s="180"/>
      <c r="I84" s="21"/>
      <c r="J84" s="21"/>
      <c r="K84" s="200"/>
      <c r="L84" s="21"/>
      <c r="M84" s="21"/>
      <c r="N84" s="21"/>
      <c r="O84" s="21"/>
      <c r="P84" s="21"/>
      <c r="Q84" s="21"/>
      <c r="R84" s="21"/>
    </row>
    <row r="85" spans="1:18" s="1" customFormat="1">
      <c r="A85" s="292"/>
      <c r="B85" s="21"/>
      <c r="C85" s="21"/>
      <c r="D85" s="142"/>
      <c r="E85" s="109"/>
      <c r="F85" s="22"/>
      <c r="G85" s="240"/>
      <c r="H85" s="180"/>
      <c r="I85" s="21"/>
      <c r="J85" s="21"/>
      <c r="K85" s="200"/>
      <c r="L85" s="21"/>
      <c r="M85" s="21"/>
      <c r="N85" s="21"/>
      <c r="O85" s="21"/>
      <c r="P85" s="21"/>
      <c r="Q85" s="21"/>
      <c r="R85" s="21"/>
    </row>
    <row r="86" spans="1:18" s="1" customFormat="1">
      <c r="A86" s="292"/>
      <c r="B86" s="21"/>
      <c r="C86" s="21"/>
      <c r="D86" s="142"/>
      <c r="E86" s="109"/>
      <c r="F86" s="22"/>
      <c r="G86" s="240"/>
      <c r="H86" s="180"/>
      <c r="I86" s="21"/>
      <c r="J86" s="21"/>
      <c r="K86" s="200"/>
      <c r="L86" s="21"/>
      <c r="M86" s="21"/>
      <c r="N86" s="21"/>
      <c r="O86" s="21"/>
      <c r="P86" s="21"/>
      <c r="Q86" s="21"/>
      <c r="R86" s="21"/>
    </row>
    <row r="87" spans="1:18" s="1" customFormat="1">
      <c r="A87" s="292"/>
      <c r="B87" s="21"/>
      <c r="C87" s="21"/>
      <c r="D87" s="142"/>
      <c r="E87" s="109"/>
      <c r="F87" s="22"/>
      <c r="G87" s="240"/>
      <c r="H87" s="180"/>
      <c r="I87" s="21"/>
      <c r="J87" s="21"/>
      <c r="K87" s="200"/>
      <c r="L87" s="21"/>
      <c r="M87" s="21"/>
      <c r="N87" s="21"/>
      <c r="O87" s="21"/>
      <c r="P87" s="21"/>
      <c r="Q87" s="21"/>
      <c r="R87" s="21"/>
    </row>
    <row r="88" spans="1:18" s="1" customFormat="1">
      <c r="A88" s="292"/>
      <c r="B88" s="21"/>
      <c r="C88" s="21"/>
      <c r="D88" s="142"/>
      <c r="E88" s="109"/>
      <c r="F88" s="22"/>
      <c r="G88" s="240"/>
      <c r="H88" s="180"/>
      <c r="I88" s="21"/>
      <c r="J88" s="21"/>
      <c r="K88" s="200"/>
      <c r="L88" s="21"/>
      <c r="M88" s="21"/>
      <c r="N88" s="21"/>
      <c r="O88" s="21"/>
      <c r="P88" s="21"/>
      <c r="Q88" s="21"/>
      <c r="R88" s="21"/>
    </row>
    <row r="89" spans="1:18" s="1" customFormat="1">
      <c r="A89" s="292"/>
      <c r="B89" s="21"/>
      <c r="C89" s="21"/>
      <c r="D89" s="142"/>
      <c r="E89" s="109"/>
      <c r="F89" s="22"/>
      <c r="G89" s="240"/>
      <c r="H89" s="180"/>
      <c r="I89" s="21"/>
      <c r="J89" s="21"/>
      <c r="K89" s="200"/>
      <c r="L89" s="21"/>
      <c r="M89" s="21"/>
      <c r="N89" s="21"/>
      <c r="O89" s="21"/>
      <c r="P89" s="21"/>
      <c r="Q89" s="21"/>
      <c r="R89" s="21"/>
    </row>
    <row r="90" spans="1:18" s="1" customFormat="1">
      <c r="A90" s="292"/>
      <c r="B90" s="21"/>
      <c r="C90" s="21"/>
      <c r="D90" s="142"/>
      <c r="E90" s="109"/>
      <c r="F90" s="22"/>
      <c r="G90" s="240"/>
      <c r="H90" s="180"/>
      <c r="I90" s="21"/>
      <c r="J90" s="21"/>
      <c r="K90" s="200"/>
      <c r="L90" s="21"/>
      <c r="M90" s="21"/>
      <c r="N90" s="21"/>
      <c r="O90" s="21"/>
      <c r="P90" s="21"/>
      <c r="Q90" s="21"/>
      <c r="R90" s="21"/>
    </row>
    <row r="91" spans="1:18" s="1" customFormat="1">
      <c r="A91" s="292"/>
      <c r="B91" s="21"/>
      <c r="C91" s="21"/>
      <c r="D91" s="142"/>
      <c r="E91" s="109"/>
      <c r="F91" s="22"/>
      <c r="G91" s="240"/>
      <c r="H91" s="180"/>
      <c r="I91" s="21"/>
      <c r="J91" s="21"/>
      <c r="K91" s="200"/>
      <c r="L91" s="21"/>
      <c r="M91" s="21"/>
      <c r="N91" s="21"/>
      <c r="O91" s="21"/>
      <c r="P91" s="21"/>
      <c r="Q91" s="21"/>
      <c r="R91" s="21"/>
    </row>
    <row r="92" spans="1:18" s="1" customFormat="1">
      <c r="A92" s="292"/>
      <c r="B92" s="21"/>
      <c r="C92" s="21"/>
      <c r="D92" s="142"/>
      <c r="E92" s="109"/>
      <c r="F92" s="22"/>
      <c r="G92" s="240"/>
      <c r="H92" s="180"/>
      <c r="I92" s="21"/>
      <c r="J92" s="21"/>
      <c r="K92" s="200"/>
      <c r="L92" s="21"/>
      <c r="M92" s="21"/>
      <c r="N92" s="21"/>
      <c r="O92" s="21"/>
      <c r="P92" s="21"/>
      <c r="Q92" s="21"/>
      <c r="R92" s="21"/>
    </row>
    <row r="93" spans="1:18" s="1" customFormat="1">
      <c r="A93" s="292"/>
      <c r="B93" s="21"/>
      <c r="C93" s="21"/>
      <c r="D93" s="142"/>
      <c r="E93" s="109"/>
      <c r="F93" s="22"/>
      <c r="G93" s="240"/>
      <c r="H93" s="180"/>
      <c r="I93" s="21"/>
      <c r="J93" s="21"/>
      <c r="K93" s="200"/>
      <c r="L93" s="21"/>
      <c r="M93" s="21"/>
      <c r="N93" s="21"/>
      <c r="O93" s="21"/>
      <c r="P93" s="21"/>
      <c r="Q93" s="21"/>
      <c r="R93" s="21"/>
    </row>
    <row r="94" spans="1:18" s="1" customFormat="1">
      <c r="A94" s="292"/>
      <c r="B94" s="21"/>
      <c r="C94" s="21"/>
      <c r="D94" s="142"/>
      <c r="E94" s="109"/>
      <c r="F94" s="22"/>
      <c r="G94" s="240"/>
      <c r="H94" s="180"/>
      <c r="I94" s="21"/>
      <c r="J94" s="21"/>
      <c r="K94" s="200"/>
      <c r="L94" s="21"/>
      <c r="M94" s="21"/>
      <c r="N94" s="21"/>
      <c r="O94" s="21"/>
      <c r="P94" s="21"/>
      <c r="Q94" s="21"/>
      <c r="R94" s="21"/>
    </row>
    <row r="95" spans="1:18" s="1" customFormat="1">
      <c r="A95" s="292"/>
      <c r="B95" s="21"/>
      <c r="C95" s="21"/>
      <c r="D95" s="142"/>
      <c r="E95" s="109"/>
      <c r="F95" s="22"/>
      <c r="G95" s="240"/>
      <c r="H95" s="180"/>
      <c r="I95" s="21"/>
      <c r="J95" s="21"/>
      <c r="K95" s="200"/>
      <c r="L95" s="21"/>
      <c r="M95" s="21"/>
      <c r="N95" s="21"/>
      <c r="O95" s="21"/>
      <c r="P95" s="21"/>
      <c r="Q95" s="21"/>
      <c r="R95" s="21"/>
    </row>
    <row r="96" spans="1:18" s="1" customFormat="1">
      <c r="A96" s="292"/>
      <c r="B96" s="21"/>
      <c r="C96" s="21"/>
      <c r="D96" s="142"/>
      <c r="E96" s="109"/>
      <c r="F96" s="22"/>
      <c r="G96" s="240"/>
      <c r="H96" s="180"/>
      <c r="I96" s="21"/>
      <c r="J96" s="21"/>
      <c r="K96" s="200"/>
      <c r="L96" s="21"/>
      <c r="M96" s="21"/>
      <c r="N96" s="21"/>
      <c r="O96" s="21"/>
      <c r="P96" s="21"/>
      <c r="Q96" s="21"/>
      <c r="R96" s="21"/>
    </row>
    <row r="97" spans="1:18" s="1" customFormat="1">
      <c r="A97" s="292"/>
      <c r="B97" s="21"/>
      <c r="C97" s="21"/>
      <c r="D97" s="142"/>
      <c r="E97" s="109"/>
      <c r="F97" s="22"/>
      <c r="G97" s="240"/>
      <c r="H97" s="180"/>
      <c r="I97" s="21"/>
      <c r="J97" s="21"/>
      <c r="K97" s="200"/>
      <c r="L97" s="21"/>
      <c r="M97" s="21"/>
      <c r="N97" s="21"/>
      <c r="O97" s="21"/>
      <c r="P97" s="21"/>
      <c r="Q97" s="21"/>
      <c r="R97" s="21"/>
    </row>
    <row r="98" spans="1:18" s="1" customFormat="1">
      <c r="A98" s="292"/>
      <c r="B98" s="21"/>
      <c r="C98" s="21"/>
      <c r="D98" s="142"/>
      <c r="E98" s="109"/>
      <c r="F98" s="22"/>
      <c r="G98" s="240"/>
      <c r="H98" s="180"/>
      <c r="I98" s="21"/>
      <c r="J98" s="21"/>
      <c r="K98" s="200"/>
      <c r="L98" s="21"/>
      <c r="M98" s="21"/>
      <c r="N98" s="21"/>
      <c r="O98" s="21"/>
      <c r="P98" s="21"/>
      <c r="Q98" s="21"/>
      <c r="R98" s="21"/>
    </row>
    <row r="99" spans="1:18" s="1" customFormat="1">
      <c r="A99" s="292"/>
      <c r="B99" s="21"/>
      <c r="C99" s="21"/>
      <c r="D99" s="142"/>
      <c r="E99" s="109"/>
      <c r="F99" s="22"/>
      <c r="G99" s="240"/>
      <c r="H99" s="180"/>
      <c r="I99" s="21"/>
      <c r="J99" s="21"/>
      <c r="K99" s="200"/>
      <c r="L99" s="21"/>
      <c r="M99" s="21"/>
      <c r="N99" s="21"/>
      <c r="O99" s="21"/>
      <c r="P99" s="21"/>
      <c r="Q99" s="21"/>
      <c r="R99" s="21"/>
    </row>
    <row r="100" spans="1:18" s="1" customFormat="1">
      <c r="A100" s="292"/>
      <c r="B100" s="21"/>
      <c r="C100" s="21"/>
      <c r="D100" s="142"/>
      <c r="E100" s="109"/>
      <c r="F100" s="22"/>
      <c r="G100" s="240"/>
      <c r="H100" s="180"/>
      <c r="I100" s="21"/>
      <c r="J100" s="21"/>
      <c r="K100" s="200"/>
      <c r="L100" s="21"/>
      <c r="M100" s="21"/>
      <c r="N100" s="21"/>
      <c r="O100" s="21"/>
      <c r="P100" s="21"/>
      <c r="Q100" s="21"/>
      <c r="R100" s="21"/>
    </row>
    <row r="101" spans="1:18" s="1" customFormat="1">
      <c r="A101" s="292"/>
      <c r="B101" s="21"/>
      <c r="C101" s="21"/>
      <c r="D101" s="142"/>
      <c r="E101" s="109"/>
      <c r="F101" s="22"/>
      <c r="G101" s="240"/>
      <c r="H101" s="180"/>
      <c r="I101" s="21"/>
      <c r="J101" s="21"/>
      <c r="K101" s="200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92"/>
      <c r="B102" s="21"/>
      <c r="C102" s="21"/>
      <c r="D102" s="142"/>
      <c r="E102" s="109"/>
      <c r="F102" s="22"/>
      <c r="G102" s="240"/>
      <c r="H102" s="180"/>
      <c r="I102" s="21"/>
      <c r="J102" s="21"/>
      <c r="K102" s="200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92"/>
      <c r="B103" s="21"/>
      <c r="C103" s="21"/>
      <c r="D103" s="142"/>
      <c r="E103" s="109"/>
      <c r="F103" s="22"/>
      <c r="G103" s="240"/>
      <c r="H103" s="180"/>
      <c r="I103" s="21"/>
      <c r="J103" s="21"/>
      <c r="K103" s="200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92"/>
      <c r="B104" s="21"/>
      <c r="C104" s="21"/>
      <c r="D104" s="142"/>
      <c r="E104" s="109"/>
      <c r="F104" s="22"/>
      <c r="G104" s="240"/>
      <c r="H104" s="180"/>
      <c r="I104" s="21"/>
      <c r="J104" s="21"/>
      <c r="K104" s="200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92"/>
      <c r="B105" s="21"/>
      <c r="C105" s="21"/>
      <c r="D105" s="142"/>
      <c r="E105" s="109"/>
      <c r="F105" s="22"/>
      <c r="G105" s="240"/>
      <c r="H105" s="180"/>
      <c r="I105" s="21"/>
      <c r="J105" s="21"/>
      <c r="K105" s="200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92"/>
      <c r="B106" s="21"/>
      <c r="C106" s="21"/>
      <c r="D106" s="142"/>
      <c r="E106" s="109"/>
      <c r="F106" s="22"/>
      <c r="G106" s="240"/>
      <c r="H106" s="180"/>
      <c r="I106" s="21"/>
      <c r="J106" s="21"/>
      <c r="K106" s="200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92"/>
      <c r="B107" s="21"/>
      <c r="C107" s="21"/>
      <c r="D107" s="142"/>
      <c r="E107" s="109"/>
      <c r="F107" s="22"/>
      <c r="G107" s="240"/>
      <c r="H107" s="180"/>
      <c r="I107" s="21"/>
      <c r="J107" s="21"/>
      <c r="K107" s="200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92"/>
      <c r="B108" s="21"/>
      <c r="C108" s="21"/>
      <c r="D108" s="142"/>
      <c r="E108" s="109"/>
      <c r="F108" s="22"/>
      <c r="G108" s="240"/>
      <c r="H108" s="180"/>
      <c r="I108" s="21"/>
      <c r="J108" s="21"/>
      <c r="K108" s="200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92"/>
      <c r="B109" s="21"/>
      <c r="C109" s="21"/>
      <c r="D109" s="142"/>
      <c r="E109" s="109"/>
      <c r="F109" s="22"/>
      <c r="G109" s="240"/>
      <c r="H109" s="180"/>
      <c r="I109" s="21"/>
      <c r="J109" s="21"/>
      <c r="K109" s="200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92"/>
      <c r="B110" s="21"/>
      <c r="C110" s="21"/>
      <c r="D110" s="142"/>
      <c r="E110" s="109"/>
      <c r="F110" s="22"/>
      <c r="G110" s="240"/>
      <c r="H110" s="180"/>
      <c r="I110" s="21"/>
      <c r="J110" s="21"/>
      <c r="K110" s="200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92"/>
      <c r="B111" s="21"/>
      <c r="C111" s="21"/>
      <c r="D111" s="142"/>
      <c r="E111" s="109"/>
      <c r="F111" s="22"/>
      <c r="G111" s="240"/>
      <c r="H111" s="180"/>
      <c r="I111" s="21"/>
      <c r="J111" s="21"/>
      <c r="K111" s="200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92"/>
      <c r="B112" s="21"/>
      <c r="C112" s="21"/>
      <c r="D112" s="142"/>
      <c r="E112" s="109"/>
      <c r="F112" s="22"/>
      <c r="G112" s="240"/>
      <c r="H112" s="180"/>
      <c r="I112" s="21"/>
      <c r="J112" s="21"/>
      <c r="K112" s="200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92"/>
      <c r="B113" s="21"/>
      <c r="C113" s="21"/>
      <c r="D113" s="142"/>
      <c r="E113" s="109"/>
      <c r="F113" s="22"/>
      <c r="G113" s="240"/>
      <c r="H113" s="180"/>
      <c r="I113" s="21"/>
      <c r="J113" s="21"/>
      <c r="K113" s="200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92"/>
      <c r="B114" s="21"/>
      <c r="C114" s="21"/>
      <c r="D114" s="142"/>
      <c r="E114" s="109"/>
      <c r="F114" s="22"/>
      <c r="G114" s="240"/>
      <c r="H114" s="180"/>
      <c r="I114" s="21"/>
      <c r="J114" s="21"/>
      <c r="K114" s="200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92"/>
      <c r="B115" s="21"/>
      <c r="C115" s="21"/>
      <c r="D115" s="142"/>
      <c r="E115" s="109"/>
      <c r="F115" s="22"/>
      <c r="G115" s="240"/>
      <c r="H115" s="180"/>
      <c r="I115" s="21"/>
      <c r="J115" s="21"/>
      <c r="K115" s="200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92"/>
      <c r="B116" s="21"/>
      <c r="C116" s="21"/>
      <c r="D116" s="142"/>
      <c r="E116" s="109"/>
      <c r="F116" s="22"/>
      <c r="G116" s="240"/>
      <c r="H116" s="180"/>
      <c r="I116" s="21"/>
      <c r="J116" s="21"/>
      <c r="K116" s="200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92"/>
      <c r="B117" s="21"/>
      <c r="C117" s="21"/>
      <c r="D117" s="142"/>
      <c r="E117" s="109"/>
      <c r="F117" s="22"/>
      <c r="G117" s="240"/>
      <c r="H117" s="180"/>
      <c r="I117" s="21"/>
      <c r="J117" s="21"/>
      <c r="K117" s="200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92"/>
      <c r="B118" s="21"/>
      <c r="C118" s="21"/>
      <c r="D118" s="142"/>
      <c r="E118" s="109"/>
      <c r="F118" s="22"/>
      <c r="G118" s="240"/>
      <c r="H118" s="180"/>
      <c r="I118" s="21"/>
      <c r="J118" s="21"/>
      <c r="K118" s="200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92"/>
      <c r="B119" s="21"/>
      <c r="C119" s="21"/>
      <c r="D119" s="142"/>
      <c r="E119" s="109"/>
      <c r="F119" s="22"/>
      <c r="G119" s="240"/>
      <c r="H119" s="180"/>
      <c r="I119" s="21"/>
      <c r="J119" s="21"/>
      <c r="K119" s="200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92"/>
      <c r="B120" s="21"/>
      <c r="C120" s="21"/>
      <c r="D120" s="142"/>
      <c r="E120" s="109"/>
      <c r="F120" s="22"/>
      <c r="G120" s="240"/>
      <c r="H120" s="180"/>
      <c r="I120" s="21"/>
      <c r="J120" s="21"/>
      <c r="K120" s="200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92"/>
      <c r="B121" s="21"/>
      <c r="C121" s="21"/>
      <c r="D121" s="142"/>
      <c r="E121" s="109"/>
      <c r="F121" s="22"/>
      <c r="G121" s="240"/>
      <c r="H121" s="180"/>
      <c r="I121" s="21"/>
      <c r="J121" s="21"/>
      <c r="K121" s="200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92"/>
      <c r="B122" s="21"/>
      <c r="C122" s="21"/>
      <c r="D122" s="142"/>
      <c r="E122" s="109"/>
      <c r="F122" s="22"/>
      <c r="G122" s="240"/>
      <c r="H122" s="180"/>
      <c r="I122" s="21"/>
      <c r="J122" s="21"/>
      <c r="K122" s="200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92"/>
      <c r="B123" s="21"/>
      <c r="C123" s="21"/>
      <c r="D123" s="142"/>
      <c r="E123" s="109"/>
      <c r="F123" s="22"/>
      <c r="G123" s="240"/>
      <c r="H123" s="180"/>
      <c r="I123" s="21"/>
      <c r="J123" s="21"/>
      <c r="K123" s="200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92"/>
      <c r="B124" s="21"/>
      <c r="C124" s="21"/>
      <c r="D124" s="142"/>
      <c r="E124" s="109"/>
      <c r="F124" s="22"/>
      <c r="G124" s="240"/>
      <c r="H124" s="180"/>
      <c r="I124" s="21"/>
      <c r="J124" s="21"/>
      <c r="K124" s="200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92"/>
      <c r="B125" s="21"/>
      <c r="C125" s="21"/>
      <c r="D125" s="142"/>
      <c r="E125" s="109"/>
      <c r="F125" s="22"/>
      <c r="G125" s="240"/>
      <c r="H125" s="180"/>
      <c r="I125" s="21"/>
      <c r="J125" s="21"/>
      <c r="K125" s="200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92"/>
      <c r="B126" s="21"/>
      <c r="C126" s="21"/>
      <c r="D126" s="142"/>
      <c r="E126" s="109"/>
      <c r="F126" s="22"/>
      <c r="G126" s="240"/>
      <c r="H126" s="180"/>
      <c r="I126" s="21"/>
      <c r="J126" s="21"/>
      <c r="K126" s="200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92"/>
      <c r="B127" s="21"/>
      <c r="C127" s="21"/>
      <c r="D127" s="142"/>
      <c r="E127" s="109"/>
      <c r="F127" s="22"/>
      <c r="G127" s="240"/>
      <c r="H127" s="180"/>
      <c r="I127" s="21"/>
      <c r="J127" s="21"/>
      <c r="K127" s="200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92"/>
      <c r="B128" s="21"/>
      <c r="C128" s="21"/>
      <c r="D128" s="142"/>
      <c r="E128" s="109"/>
      <c r="F128" s="22"/>
      <c r="G128" s="240"/>
      <c r="H128" s="180"/>
      <c r="I128" s="21"/>
      <c r="J128" s="21"/>
      <c r="K128" s="200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92"/>
      <c r="B129" s="21"/>
      <c r="C129" s="21"/>
      <c r="D129" s="142"/>
      <c r="E129" s="109"/>
      <c r="F129" s="22"/>
      <c r="G129" s="240"/>
      <c r="H129" s="180"/>
      <c r="I129" s="21"/>
      <c r="J129" s="21"/>
      <c r="K129" s="200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92"/>
      <c r="B130" s="21"/>
      <c r="C130" s="21"/>
      <c r="D130" s="142"/>
      <c r="E130" s="109"/>
      <c r="F130" s="22"/>
      <c r="G130" s="240"/>
      <c r="H130" s="180"/>
      <c r="I130" s="21"/>
      <c r="J130" s="21"/>
      <c r="K130" s="200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92"/>
      <c r="B131" s="21"/>
      <c r="C131" s="21"/>
      <c r="D131" s="142"/>
      <c r="E131" s="109"/>
      <c r="F131" s="22"/>
      <c r="G131" s="240"/>
      <c r="H131" s="180"/>
      <c r="I131" s="21"/>
      <c r="J131" s="21"/>
      <c r="K131" s="200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92"/>
      <c r="B132" s="21"/>
      <c r="C132" s="21"/>
      <c r="D132" s="142"/>
      <c r="E132" s="109"/>
      <c r="F132" s="22"/>
      <c r="G132" s="240"/>
      <c r="H132" s="180"/>
      <c r="I132" s="21"/>
      <c r="J132" s="21"/>
      <c r="K132" s="200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92"/>
      <c r="B133" s="21"/>
      <c r="C133" s="21"/>
      <c r="D133" s="142"/>
      <c r="E133" s="109"/>
      <c r="F133" s="22"/>
      <c r="G133" s="240"/>
      <c r="H133" s="180"/>
      <c r="I133" s="21"/>
      <c r="J133" s="21"/>
      <c r="K133" s="200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92"/>
      <c r="B134" s="21"/>
      <c r="C134" s="21"/>
      <c r="D134" s="142"/>
      <c r="E134" s="109"/>
      <c r="F134" s="22"/>
      <c r="G134" s="240"/>
      <c r="H134" s="180"/>
      <c r="I134" s="21"/>
      <c r="J134" s="21"/>
      <c r="K134" s="200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92"/>
      <c r="B135" s="21"/>
      <c r="C135" s="21"/>
      <c r="D135" s="142"/>
      <c r="E135" s="109"/>
      <c r="F135" s="22"/>
      <c r="G135" s="240"/>
      <c r="H135" s="180"/>
      <c r="I135" s="21"/>
      <c r="J135" s="21"/>
      <c r="K135" s="200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92"/>
      <c r="B136" s="21"/>
      <c r="C136" s="21"/>
      <c r="D136" s="142"/>
      <c r="E136" s="109"/>
      <c r="F136" s="22"/>
      <c r="G136" s="240"/>
      <c r="H136" s="180"/>
      <c r="I136" s="21"/>
      <c r="J136" s="21"/>
      <c r="K136" s="200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92"/>
      <c r="B137" s="21"/>
      <c r="C137" s="21"/>
      <c r="D137" s="142"/>
      <c r="E137" s="109"/>
      <c r="F137" s="22"/>
      <c r="G137" s="240"/>
      <c r="H137" s="180"/>
      <c r="I137" s="21"/>
      <c r="J137" s="21"/>
      <c r="K137" s="200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92"/>
      <c r="B138" s="21"/>
      <c r="C138" s="21"/>
      <c r="D138" s="142"/>
      <c r="E138" s="109"/>
      <c r="F138" s="22"/>
      <c r="G138" s="240"/>
      <c r="H138" s="180"/>
      <c r="I138" s="21"/>
      <c r="J138" s="21"/>
      <c r="K138" s="200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92"/>
      <c r="B139" s="21"/>
      <c r="C139" s="21"/>
      <c r="D139" s="142"/>
      <c r="E139" s="109"/>
      <c r="F139" s="22"/>
      <c r="G139" s="240"/>
      <c r="H139" s="180"/>
      <c r="I139" s="21"/>
      <c r="J139" s="21"/>
      <c r="K139" s="200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92"/>
      <c r="B140" s="21"/>
      <c r="C140" s="21"/>
      <c r="D140" s="142"/>
      <c r="E140" s="109"/>
      <c r="F140" s="22"/>
      <c r="G140" s="240"/>
      <c r="H140" s="180"/>
      <c r="I140" s="21"/>
      <c r="J140" s="21"/>
      <c r="K140" s="200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92"/>
      <c r="B141" s="21"/>
      <c r="C141" s="21"/>
      <c r="D141" s="142"/>
      <c r="E141" s="109"/>
      <c r="F141" s="22"/>
      <c r="G141" s="240"/>
      <c r="H141" s="180"/>
      <c r="I141" s="21"/>
      <c r="J141" s="21"/>
      <c r="K141" s="200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92"/>
      <c r="B142" s="21"/>
      <c r="C142" s="21"/>
      <c r="D142" s="142"/>
      <c r="E142" s="109"/>
      <c r="F142" s="22"/>
      <c r="G142" s="240"/>
      <c r="H142" s="180"/>
      <c r="I142" s="21"/>
      <c r="J142" s="21"/>
      <c r="K142" s="200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92"/>
      <c r="B143" s="21"/>
      <c r="C143" s="21"/>
      <c r="D143" s="142"/>
      <c r="E143" s="109"/>
      <c r="F143" s="22"/>
      <c r="G143" s="240"/>
      <c r="H143" s="180"/>
      <c r="I143" s="21"/>
      <c r="J143" s="21"/>
      <c r="K143" s="200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92"/>
      <c r="B144" s="21"/>
      <c r="C144" s="21"/>
      <c r="D144" s="142"/>
      <c r="E144" s="109"/>
      <c r="F144" s="22"/>
      <c r="G144" s="240"/>
      <c r="H144" s="180"/>
      <c r="I144" s="21"/>
      <c r="J144" s="21"/>
      <c r="K144" s="200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92"/>
      <c r="B145" s="21"/>
      <c r="C145" s="21"/>
      <c r="D145" s="142"/>
      <c r="E145" s="109"/>
      <c r="F145" s="22"/>
      <c r="G145" s="240"/>
      <c r="H145" s="180"/>
      <c r="I145" s="21"/>
      <c r="J145" s="21"/>
      <c r="K145" s="200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92"/>
      <c r="B146" s="21"/>
      <c r="C146" s="21"/>
      <c r="D146" s="142"/>
      <c r="E146" s="109"/>
      <c r="F146" s="22"/>
      <c r="G146" s="240"/>
      <c r="H146" s="180"/>
      <c r="I146" s="21"/>
      <c r="J146" s="21"/>
      <c r="K146" s="200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92"/>
      <c r="B147" s="21"/>
      <c r="C147" s="21"/>
      <c r="D147" s="142"/>
      <c r="E147" s="109"/>
      <c r="F147" s="22"/>
      <c r="G147" s="240"/>
      <c r="H147" s="180"/>
      <c r="I147" s="21"/>
      <c r="J147" s="21"/>
      <c r="K147" s="200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92"/>
      <c r="B148" s="21"/>
      <c r="C148" s="21"/>
      <c r="D148" s="142"/>
      <c r="E148" s="109"/>
      <c r="F148" s="22"/>
      <c r="G148" s="240"/>
      <c r="H148" s="180"/>
      <c r="I148" s="21"/>
      <c r="J148" s="21"/>
      <c r="K148" s="200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92"/>
      <c r="B149" s="21"/>
      <c r="C149" s="21"/>
      <c r="D149" s="142"/>
      <c r="E149" s="109"/>
      <c r="F149" s="22"/>
      <c r="G149" s="240"/>
      <c r="H149" s="180"/>
      <c r="I149" s="21"/>
      <c r="J149" s="21"/>
      <c r="K149" s="200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92"/>
      <c r="B150" s="21"/>
      <c r="C150" s="21"/>
      <c r="D150" s="142"/>
      <c r="E150" s="109"/>
      <c r="F150" s="22"/>
      <c r="G150" s="240"/>
      <c r="H150" s="180"/>
      <c r="I150" s="21"/>
      <c r="J150" s="21"/>
      <c r="K150" s="200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92"/>
      <c r="B151" s="21"/>
      <c r="C151" s="21"/>
      <c r="D151" s="142"/>
      <c r="E151" s="109"/>
      <c r="F151" s="22"/>
      <c r="G151" s="240"/>
      <c r="H151" s="180"/>
      <c r="I151" s="21"/>
      <c r="J151" s="21"/>
      <c r="K151" s="200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92"/>
      <c r="B152" s="21"/>
      <c r="C152" s="21"/>
      <c r="D152" s="142"/>
      <c r="E152" s="109"/>
      <c r="F152" s="22"/>
      <c r="G152" s="240"/>
      <c r="H152" s="180"/>
      <c r="I152" s="21"/>
      <c r="J152" s="21"/>
      <c r="K152" s="200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92"/>
      <c r="B153" s="21"/>
      <c r="C153" s="21"/>
      <c r="D153" s="142"/>
      <c r="E153" s="109"/>
      <c r="F153" s="22"/>
      <c r="G153" s="240"/>
      <c r="H153" s="180"/>
      <c r="I153" s="21"/>
      <c r="J153" s="21"/>
      <c r="K153" s="200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92"/>
      <c r="B154" s="21"/>
      <c r="C154" s="21"/>
      <c r="D154" s="142"/>
      <c r="E154" s="109"/>
      <c r="F154" s="22"/>
      <c r="G154" s="240"/>
      <c r="H154" s="180"/>
      <c r="I154" s="21"/>
      <c r="J154" s="21"/>
      <c r="K154" s="200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92"/>
      <c r="B155" s="21"/>
      <c r="C155" s="21"/>
      <c r="D155" s="142"/>
      <c r="E155" s="109"/>
      <c r="F155" s="22"/>
      <c r="G155" s="240"/>
      <c r="H155" s="180"/>
      <c r="I155" s="21"/>
      <c r="J155" s="21"/>
      <c r="K155" s="200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92"/>
      <c r="B156" s="21"/>
      <c r="C156" s="21"/>
      <c r="D156" s="142"/>
      <c r="E156" s="109"/>
      <c r="F156" s="22"/>
      <c r="G156" s="240"/>
      <c r="H156" s="180"/>
      <c r="I156" s="21"/>
      <c r="J156" s="21"/>
      <c r="K156" s="200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92"/>
      <c r="B157" s="21"/>
      <c r="C157" s="21"/>
      <c r="D157" s="142"/>
      <c r="E157" s="109"/>
      <c r="F157" s="22"/>
      <c r="G157" s="240"/>
      <c r="H157" s="180"/>
      <c r="I157" s="21"/>
      <c r="J157" s="21"/>
      <c r="K157" s="200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92"/>
      <c r="B158" s="21"/>
      <c r="C158" s="21"/>
      <c r="D158" s="142"/>
      <c r="E158" s="109"/>
      <c r="F158" s="22"/>
      <c r="G158" s="240"/>
      <c r="H158" s="180"/>
      <c r="I158" s="21"/>
      <c r="J158" s="21"/>
      <c r="K158" s="200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92"/>
      <c r="B159" s="21"/>
      <c r="C159" s="21"/>
      <c r="D159" s="142"/>
      <c r="E159" s="109"/>
      <c r="F159" s="22"/>
      <c r="G159" s="240"/>
      <c r="H159" s="180"/>
      <c r="I159" s="21"/>
      <c r="J159" s="21"/>
      <c r="K159" s="200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92"/>
      <c r="B160" s="21"/>
      <c r="C160" s="21"/>
      <c r="D160" s="142"/>
      <c r="E160" s="109"/>
      <c r="F160" s="22"/>
      <c r="G160" s="240"/>
      <c r="H160" s="180"/>
      <c r="I160" s="21"/>
      <c r="J160" s="21"/>
      <c r="K160" s="200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92"/>
      <c r="B161" s="21"/>
      <c r="C161" s="21"/>
      <c r="D161" s="142"/>
      <c r="E161" s="109"/>
      <c r="F161" s="22"/>
      <c r="G161" s="240"/>
      <c r="H161" s="180"/>
      <c r="I161" s="21"/>
      <c r="J161" s="21"/>
      <c r="K161" s="200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92"/>
      <c r="B162" s="21"/>
      <c r="C162" s="21"/>
      <c r="D162" s="142"/>
      <c r="E162" s="109"/>
      <c r="F162" s="22"/>
      <c r="G162" s="240"/>
      <c r="H162" s="180"/>
      <c r="I162" s="21"/>
      <c r="J162" s="21"/>
      <c r="K162" s="200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92"/>
      <c r="B163" s="21"/>
      <c r="C163" s="21"/>
      <c r="D163" s="142"/>
      <c r="E163" s="109"/>
      <c r="F163" s="22"/>
      <c r="G163" s="240"/>
      <c r="H163" s="180"/>
      <c r="I163" s="21"/>
      <c r="J163" s="21"/>
      <c r="K163" s="200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92"/>
      <c r="B164" s="21"/>
      <c r="C164" s="21"/>
      <c r="D164" s="142"/>
      <c r="E164" s="109"/>
      <c r="F164" s="22"/>
      <c r="G164" s="240"/>
      <c r="H164" s="180"/>
      <c r="I164" s="21"/>
      <c r="J164" s="21"/>
      <c r="K164" s="200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92"/>
      <c r="B165" s="21"/>
      <c r="C165" s="21"/>
      <c r="D165" s="142"/>
      <c r="E165" s="109"/>
      <c r="F165" s="22"/>
      <c r="G165" s="240"/>
      <c r="H165" s="180"/>
      <c r="I165" s="21"/>
      <c r="J165" s="21"/>
      <c r="K165" s="200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92"/>
      <c r="B166" s="21"/>
      <c r="C166" s="21"/>
      <c r="D166" s="142"/>
      <c r="E166" s="109"/>
      <c r="F166" s="22"/>
      <c r="G166" s="240"/>
      <c r="H166" s="180"/>
      <c r="I166" s="21"/>
      <c r="J166" s="21"/>
      <c r="K166" s="200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92"/>
      <c r="B167" s="21"/>
      <c r="C167" s="21"/>
      <c r="D167" s="142"/>
      <c r="E167" s="109"/>
      <c r="F167" s="22"/>
      <c r="G167" s="240"/>
      <c r="H167" s="180"/>
      <c r="I167" s="21"/>
      <c r="J167" s="21"/>
      <c r="K167" s="200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92"/>
      <c r="B168" s="21"/>
      <c r="C168" s="21"/>
      <c r="D168" s="142"/>
      <c r="E168" s="109"/>
      <c r="F168" s="22"/>
      <c r="G168" s="240"/>
      <c r="H168" s="180"/>
      <c r="I168" s="21"/>
      <c r="J168" s="21"/>
      <c r="K168" s="200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92"/>
      <c r="B169" s="21"/>
      <c r="C169" s="21"/>
      <c r="D169" s="142"/>
      <c r="E169" s="109"/>
      <c r="F169" s="22"/>
      <c r="G169" s="240"/>
      <c r="H169" s="180"/>
      <c r="I169" s="21"/>
      <c r="J169" s="21"/>
      <c r="K169" s="200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92"/>
      <c r="B170" s="21"/>
      <c r="C170" s="21"/>
      <c r="D170" s="142"/>
      <c r="E170" s="109"/>
      <c r="F170" s="22"/>
      <c r="G170" s="240"/>
      <c r="H170" s="180"/>
      <c r="I170" s="21"/>
      <c r="J170" s="21"/>
      <c r="K170" s="200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92"/>
      <c r="B171" s="21"/>
      <c r="C171" s="21"/>
      <c r="D171" s="142"/>
      <c r="E171" s="109"/>
      <c r="F171" s="22"/>
      <c r="G171" s="240"/>
      <c r="H171" s="180"/>
      <c r="I171" s="21"/>
      <c r="J171" s="21"/>
      <c r="K171" s="200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92"/>
      <c r="B172" s="21"/>
      <c r="C172" s="21"/>
      <c r="D172" s="142"/>
      <c r="E172" s="109"/>
      <c r="F172" s="22"/>
      <c r="G172" s="240"/>
      <c r="H172" s="180"/>
      <c r="I172" s="21"/>
      <c r="J172" s="21"/>
      <c r="K172" s="200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92"/>
      <c r="B173" s="21"/>
      <c r="C173" s="21"/>
      <c r="D173" s="142"/>
      <c r="E173" s="109"/>
      <c r="F173" s="22"/>
      <c r="G173" s="240"/>
      <c r="H173" s="180"/>
      <c r="I173" s="21"/>
      <c r="J173" s="21"/>
      <c r="K173" s="200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92"/>
      <c r="B174" s="21"/>
      <c r="C174" s="21"/>
      <c r="D174" s="142"/>
      <c r="E174" s="109"/>
      <c r="F174" s="22"/>
      <c r="G174" s="240"/>
      <c r="H174" s="180"/>
      <c r="I174" s="21"/>
      <c r="J174" s="21"/>
      <c r="K174" s="200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92"/>
      <c r="B175" s="21"/>
      <c r="C175" s="21"/>
      <c r="D175" s="142"/>
      <c r="E175" s="109"/>
      <c r="F175" s="22"/>
      <c r="G175" s="240"/>
      <c r="H175" s="180"/>
      <c r="I175" s="21"/>
      <c r="J175" s="21"/>
      <c r="K175" s="200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92"/>
      <c r="B176" s="21"/>
      <c r="C176" s="21"/>
      <c r="D176" s="142"/>
      <c r="E176" s="109"/>
      <c r="F176" s="22"/>
      <c r="G176" s="240"/>
      <c r="H176" s="180"/>
      <c r="I176" s="21"/>
      <c r="J176" s="21"/>
      <c r="K176" s="200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92"/>
      <c r="B177" s="21"/>
      <c r="C177" s="21"/>
      <c r="D177" s="142"/>
      <c r="E177" s="109"/>
      <c r="F177" s="22"/>
      <c r="G177" s="240"/>
      <c r="H177" s="180"/>
      <c r="I177" s="21"/>
      <c r="J177" s="21"/>
      <c r="K177" s="200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92"/>
      <c r="B178" s="21"/>
      <c r="C178" s="21"/>
      <c r="D178" s="142"/>
      <c r="E178" s="109"/>
      <c r="F178" s="22"/>
      <c r="G178" s="240"/>
      <c r="H178" s="180"/>
      <c r="I178" s="21"/>
      <c r="J178" s="21"/>
      <c r="K178" s="200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92"/>
      <c r="B179" s="21"/>
      <c r="C179" s="21"/>
      <c r="D179" s="142"/>
      <c r="E179" s="109"/>
      <c r="F179" s="22"/>
      <c r="G179" s="240"/>
      <c r="H179" s="180"/>
      <c r="I179" s="21"/>
      <c r="J179" s="21"/>
      <c r="K179" s="200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92"/>
      <c r="B180" s="21"/>
      <c r="C180" s="21"/>
      <c r="D180" s="142"/>
      <c r="E180" s="109"/>
      <c r="F180" s="22"/>
      <c r="G180" s="240"/>
      <c r="H180" s="180"/>
      <c r="I180" s="21"/>
      <c r="J180" s="21"/>
      <c r="K180" s="200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92"/>
      <c r="B181" s="21"/>
      <c r="C181" s="21"/>
      <c r="D181" s="142"/>
      <c r="E181" s="109"/>
      <c r="F181" s="22"/>
      <c r="G181" s="240"/>
      <c r="H181" s="180"/>
      <c r="I181" s="21"/>
      <c r="J181" s="21"/>
      <c r="K181" s="200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92"/>
      <c r="B182" s="21"/>
      <c r="C182" s="21"/>
      <c r="D182" s="142"/>
      <c r="E182" s="109"/>
      <c r="F182" s="22"/>
      <c r="G182" s="240"/>
      <c r="H182" s="180"/>
      <c r="I182" s="21"/>
      <c r="J182" s="21"/>
      <c r="K182" s="200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92"/>
      <c r="B183" s="21"/>
      <c r="C183" s="21"/>
      <c r="D183" s="142"/>
      <c r="E183" s="109"/>
      <c r="F183" s="22"/>
      <c r="G183" s="240"/>
      <c r="H183" s="180"/>
      <c r="I183" s="21"/>
      <c r="J183" s="21"/>
      <c r="K183" s="200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92"/>
      <c r="B184" s="21"/>
      <c r="C184" s="21"/>
      <c r="D184" s="142"/>
      <c r="E184" s="109"/>
      <c r="F184" s="22"/>
      <c r="G184" s="240"/>
      <c r="H184" s="180"/>
      <c r="I184" s="21"/>
      <c r="J184" s="21"/>
      <c r="K184" s="200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92"/>
      <c r="B185" s="21"/>
      <c r="C185" s="21"/>
      <c r="D185" s="142"/>
      <c r="E185" s="109"/>
      <c r="F185" s="22"/>
      <c r="G185" s="240"/>
      <c r="H185" s="180"/>
      <c r="I185" s="21"/>
      <c r="J185" s="21"/>
      <c r="K185" s="200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92"/>
      <c r="B186" s="21"/>
      <c r="C186" s="21"/>
      <c r="D186" s="142"/>
      <c r="E186" s="109"/>
      <c r="F186" s="22"/>
      <c r="G186" s="240"/>
      <c r="H186" s="180"/>
      <c r="I186" s="21"/>
      <c r="J186" s="21"/>
      <c r="K186" s="200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92"/>
      <c r="B187" s="21"/>
      <c r="C187" s="21"/>
      <c r="D187" s="142"/>
      <c r="E187" s="109"/>
      <c r="F187" s="22"/>
      <c r="G187" s="240"/>
      <c r="H187" s="180"/>
      <c r="I187" s="21"/>
      <c r="J187" s="21"/>
      <c r="K187" s="200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92"/>
      <c r="B188" s="21"/>
      <c r="C188" s="21"/>
      <c r="D188" s="142"/>
      <c r="E188" s="109"/>
      <c r="F188" s="22"/>
      <c r="G188" s="240"/>
      <c r="H188" s="180"/>
      <c r="I188" s="21"/>
      <c r="J188" s="21"/>
      <c r="K188" s="200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92"/>
      <c r="B189" s="21"/>
      <c r="C189" s="21"/>
      <c r="D189" s="142"/>
      <c r="E189" s="109"/>
      <c r="F189" s="22"/>
      <c r="G189" s="240"/>
      <c r="H189" s="180"/>
      <c r="I189" s="21"/>
      <c r="J189" s="21"/>
      <c r="K189" s="200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92"/>
      <c r="B190" s="21"/>
      <c r="C190" s="21"/>
      <c r="D190" s="142"/>
      <c r="E190" s="109"/>
      <c r="F190" s="22"/>
      <c r="G190" s="240"/>
      <c r="H190" s="180"/>
      <c r="I190" s="21"/>
      <c r="J190" s="21"/>
      <c r="K190" s="200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92"/>
      <c r="B191" s="21"/>
      <c r="C191" s="21"/>
      <c r="D191" s="142"/>
      <c r="E191" s="109"/>
      <c r="F191" s="22"/>
      <c r="G191" s="240"/>
      <c r="H191" s="180"/>
      <c r="I191" s="21"/>
      <c r="J191" s="21"/>
      <c r="K191" s="200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92"/>
      <c r="B192" s="21"/>
      <c r="C192" s="21"/>
      <c r="D192" s="142"/>
      <c r="E192" s="109"/>
      <c r="F192" s="22"/>
      <c r="G192" s="240"/>
      <c r="H192" s="180"/>
      <c r="I192" s="21"/>
      <c r="J192" s="21"/>
      <c r="K192" s="200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92"/>
      <c r="B193" s="21"/>
      <c r="C193" s="21"/>
      <c r="D193" s="142"/>
      <c r="E193" s="109"/>
      <c r="F193" s="22"/>
      <c r="G193" s="240"/>
      <c r="H193" s="180"/>
      <c r="I193" s="21"/>
      <c r="J193" s="21"/>
      <c r="K193" s="200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92"/>
      <c r="B194" s="21"/>
      <c r="C194" s="21"/>
      <c r="D194" s="142"/>
      <c r="E194" s="109"/>
      <c r="F194" s="22"/>
      <c r="G194" s="240"/>
      <c r="H194" s="180"/>
      <c r="I194" s="21"/>
      <c r="J194" s="21"/>
      <c r="K194" s="200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92"/>
      <c r="B195" s="21"/>
      <c r="C195" s="21"/>
      <c r="D195" s="142"/>
      <c r="E195" s="109"/>
      <c r="F195" s="22"/>
      <c r="G195" s="240"/>
      <c r="H195" s="180"/>
      <c r="I195" s="21"/>
      <c r="J195" s="21"/>
      <c r="K195" s="200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92"/>
      <c r="B196" s="21"/>
      <c r="C196" s="21"/>
      <c r="D196" s="142"/>
      <c r="E196" s="109"/>
      <c r="F196" s="22"/>
      <c r="G196" s="240"/>
      <c r="H196" s="180"/>
      <c r="I196" s="21"/>
      <c r="J196" s="21"/>
      <c r="K196" s="200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92"/>
      <c r="B197" s="21"/>
      <c r="C197" s="21"/>
      <c r="D197" s="142"/>
      <c r="E197" s="109"/>
      <c r="F197" s="22"/>
      <c r="G197" s="240"/>
      <c r="H197" s="180"/>
      <c r="I197" s="21"/>
      <c r="J197" s="21"/>
      <c r="K197" s="200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92"/>
      <c r="B198" s="21"/>
      <c r="C198" s="21"/>
      <c r="D198" s="142"/>
      <c r="E198" s="109"/>
      <c r="F198" s="22"/>
      <c r="G198" s="240"/>
      <c r="H198" s="180"/>
      <c r="I198" s="21"/>
      <c r="J198" s="21"/>
      <c r="K198" s="200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92"/>
      <c r="B199" s="21"/>
      <c r="C199" s="21"/>
      <c r="D199" s="142"/>
      <c r="E199" s="109"/>
      <c r="F199" s="22"/>
      <c r="G199" s="240"/>
      <c r="H199" s="180"/>
      <c r="I199" s="21"/>
      <c r="J199" s="21"/>
      <c r="K199" s="200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92"/>
      <c r="B200" s="21"/>
      <c r="C200" s="21"/>
      <c r="D200" s="142"/>
      <c r="E200" s="109"/>
      <c r="F200" s="22"/>
      <c r="G200" s="240"/>
      <c r="H200" s="180"/>
      <c r="I200" s="21"/>
      <c r="J200" s="21"/>
      <c r="K200" s="200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92"/>
      <c r="B201" s="21"/>
      <c r="C201" s="21"/>
      <c r="D201" s="142"/>
      <c r="E201" s="109"/>
      <c r="F201" s="22"/>
      <c r="G201" s="240"/>
      <c r="H201" s="180"/>
      <c r="I201" s="21"/>
      <c r="J201" s="21"/>
      <c r="K201" s="200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92"/>
      <c r="B202" s="21"/>
      <c r="C202" s="21"/>
      <c r="D202" s="142"/>
      <c r="E202" s="109"/>
      <c r="F202" s="22"/>
      <c r="G202" s="240"/>
      <c r="H202" s="180"/>
      <c r="I202" s="21"/>
      <c r="J202" s="21"/>
      <c r="K202" s="200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92"/>
      <c r="B203" s="21"/>
      <c r="C203" s="21"/>
      <c r="D203" s="142"/>
      <c r="E203" s="109"/>
      <c r="F203" s="22"/>
      <c r="G203" s="240"/>
      <c r="H203" s="180"/>
      <c r="I203" s="21"/>
      <c r="J203" s="21"/>
      <c r="K203" s="200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92"/>
      <c r="B204" s="21"/>
      <c r="C204" s="21"/>
      <c r="D204" s="142"/>
      <c r="E204" s="109"/>
      <c r="F204" s="22"/>
      <c r="G204" s="240"/>
      <c r="H204" s="180"/>
      <c r="I204" s="21"/>
      <c r="J204" s="21"/>
      <c r="K204" s="200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92"/>
      <c r="B205" s="21"/>
      <c r="C205" s="21"/>
      <c r="D205" s="142"/>
      <c r="E205" s="109"/>
      <c r="F205" s="22"/>
      <c r="G205" s="240"/>
      <c r="H205" s="180"/>
      <c r="I205" s="21"/>
      <c r="J205" s="21"/>
      <c r="K205" s="200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92"/>
      <c r="B206" s="21"/>
      <c r="C206" s="21"/>
      <c r="D206" s="142"/>
      <c r="E206" s="109"/>
      <c r="F206" s="22"/>
      <c r="G206" s="240"/>
      <c r="H206" s="180"/>
      <c r="I206" s="21"/>
      <c r="J206" s="21"/>
      <c r="K206" s="200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92"/>
      <c r="B207" s="21"/>
      <c r="C207" s="21"/>
      <c r="D207" s="142"/>
      <c r="E207" s="109"/>
      <c r="F207" s="22"/>
      <c r="G207" s="240"/>
      <c r="H207" s="180"/>
      <c r="I207" s="21"/>
      <c r="J207" s="21"/>
      <c r="K207" s="200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92"/>
      <c r="B208" s="21"/>
      <c r="C208" s="21"/>
      <c r="D208" s="142"/>
      <c r="E208" s="109"/>
      <c r="F208" s="22"/>
      <c r="G208" s="240"/>
      <c r="H208" s="180"/>
      <c r="I208" s="21"/>
      <c r="J208" s="21"/>
      <c r="K208" s="200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92"/>
      <c r="B209" s="21"/>
      <c r="C209" s="21"/>
      <c r="D209" s="142"/>
      <c r="E209" s="109"/>
      <c r="F209" s="22"/>
      <c r="G209" s="240"/>
      <c r="H209" s="180"/>
      <c r="I209" s="21"/>
      <c r="J209" s="21"/>
      <c r="K209" s="200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92"/>
      <c r="B210" s="21"/>
      <c r="C210" s="21"/>
      <c r="D210" s="142"/>
      <c r="E210" s="109"/>
      <c r="F210" s="22"/>
      <c r="G210" s="240"/>
      <c r="H210" s="180"/>
      <c r="I210" s="21"/>
      <c r="J210" s="21"/>
      <c r="K210" s="200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92"/>
      <c r="B211" s="21"/>
      <c r="C211" s="21"/>
      <c r="D211" s="142"/>
      <c r="E211" s="109"/>
      <c r="F211" s="22"/>
      <c r="G211" s="240"/>
      <c r="H211" s="180"/>
      <c r="I211" s="21"/>
      <c r="J211" s="21"/>
      <c r="K211" s="200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92"/>
      <c r="B212" s="21"/>
      <c r="C212" s="21"/>
      <c r="D212" s="142"/>
      <c r="E212" s="109"/>
      <c r="F212" s="22"/>
      <c r="G212" s="240"/>
      <c r="H212" s="180"/>
      <c r="I212" s="21"/>
      <c r="J212" s="21"/>
      <c r="K212" s="200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92"/>
      <c r="B213" s="21"/>
      <c r="C213" s="21"/>
      <c r="D213" s="142"/>
      <c r="E213" s="109"/>
      <c r="F213" s="22"/>
      <c r="G213" s="240"/>
      <c r="H213" s="180"/>
      <c r="I213" s="21"/>
      <c r="J213" s="21"/>
      <c r="K213" s="200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92"/>
      <c r="B214" s="21"/>
      <c r="C214" s="21"/>
      <c r="D214" s="142"/>
      <c r="E214" s="109"/>
      <c r="F214" s="22"/>
      <c r="G214" s="240"/>
      <c r="H214" s="180"/>
      <c r="I214" s="21"/>
      <c r="J214" s="21"/>
      <c r="K214" s="200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92"/>
      <c r="B215" s="21"/>
      <c r="C215" s="21"/>
      <c r="D215" s="142"/>
      <c r="E215" s="109"/>
      <c r="F215" s="22"/>
      <c r="G215" s="240"/>
      <c r="H215" s="180"/>
      <c r="I215" s="21"/>
      <c r="J215" s="21"/>
      <c r="K215" s="200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92"/>
      <c r="B216" s="21"/>
      <c r="C216" s="21"/>
      <c r="D216" s="142"/>
      <c r="E216" s="109"/>
      <c r="F216" s="22"/>
      <c r="G216" s="240"/>
      <c r="H216" s="180"/>
      <c r="I216" s="21"/>
      <c r="J216" s="21"/>
      <c r="K216" s="200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92"/>
      <c r="B217" s="21"/>
      <c r="C217" s="21"/>
      <c r="D217" s="142"/>
      <c r="E217" s="109"/>
      <c r="F217" s="22"/>
      <c r="G217" s="240"/>
      <c r="H217" s="180"/>
      <c r="I217" s="21"/>
      <c r="J217" s="21"/>
      <c r="K217" s="200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92"/>
      <c r="B218" s="21"/>
      <c r="C218" s="21"/>
      <c r="D218" s="142"/>
      <c r="E218" s="109"/>
      <c r="F218" s="22"/>
      <c r="G218" s="240"/>
      <c r="H218" s="180"/>
      <c r="I218" s="21"/>
      <c r="J218" s="21"/>
      <c r="K218" s="200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92"/>
      <c r="B219" s="21"/>
      <c r="C219" s="21"/>
      <c r="D219" s="142"/>
      <c r="E219" s="109"/>
      <c r="F219" s="22"/>
      <c r="G219" s="240"/>
      <c r="H219" s="180"/>
      <c r="I219" s="21"/>
      <c r="J219" s="21"/>
      <c r="K219" s="200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92"/>
      <c r="B220" s="21"/>
      <c r="C220" s="21"/>
      <c r="D220" s="142"/>
      <c r="E220" s="109"/>
      <c r="F220" s="22"/>
      <c r="G220" s="240"/>
      <c r="H220" s="180"/>
      <c r="I220" s="21"/>
      <c r="J220" s="21"/>
      <c r="K220" s="200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92"/>
      <c r="B221" s="21"/>
      <c r="C221" s="21"/>
      <c r="D221" s="142"/>
      <c r="E221" s="109"/>
      <c r="F221" s="22"/>
      <c r="G221" s="240"/>
      <c r="H221" s="180"/>
      <c r="I221" s="21"/>
      <c r="J221" s="21"/>
      <c r="K221" s="200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92"/>
      <c r="B222" s="21"/>
      <c r="C222" s="21"/>
      <c r="D222" s="142"/>
      <c r="E222" s="109"/>
      <c r="F222" s="22"/>
      <c r="G222" s="240"/>
      <c r="H222" s="180"/>
      <c r="I222" s="21"/>
      <c r="J222" s="21"/>
      <c r="K222" s="200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92"/>
      <c r="B223" s="21"/>
      <c r="C223" s="21"/>
      <c r="D223" s="142"/>
      <c r="E223" s="109"/>
      <c r="F223" s="22"/>
      <c r="G223" s="240"/>
      <c r="H223" s="180"/>
      <c r="I223" s="21"/>
      <c r="J223" s="21"/>
      <c r="K223" s="200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92"/>
      <c r="B224" s="21"/>
      <c r="C224" s="21"/>
      <c r="D224" s="142"/>
      <c r="E224" s="109"/>
      <c r="F224" s="22"/>
      <c r="G224" s="240"/>
      <c r="H224" s="180"/>
      <c r="I224" s="21"/>
      <c r="J224" s="21"/>
      <c r="K224" s="200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92"/>
      <c r="B225" s="21"/>
      <c r="C225" s="21"/>
      <c r="D225" s="142"/>
      <c r="E225" s="109"/>
      <c r="F225" s="22"/>
      <c r="G225" s="240"/>
      <c r="H225" s="180"/>
      <c r="I225" s="21"/>
      <c r="J225" s="21"/>
      <c r="K225" s="200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92"/>
      <c r="B226" s="21"/>
      <c r="C226" s="21"/>
      <c r="D226" s="142"/>
      <c r="E226" s="109"/>
      <c r="F226" s="22"/>
      <c r="G226" s="240"/>
      <c r="H226" s="180"/>
      <c r="I226" s="21"/>
      <c r="J226" s="21"/>
      <c r="K226" s="200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92"/>
      <c r="B227" s="21"/>
      <c r="C227" s="21"/>
      <c r="D227" s="142"/>
      <c r="E227" s="109"/>
      <c r="F227" s="22"/>
      <c r="G227" s="240"/>
      <c r="H227" s="180"/>
      <c r="I227" s="21"/>
      <c r="J227" s="21"/>
      <c r="K227" s="200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92"/>
      <c r="B228" s="21"/>
      <c r="C228" s="21"/>
      <c r="D228" s="142"/>
      <c r="E228" s="109"/>
      <c r="F228" s="22"/>
      <c r="G228" s="240"/>
      <c r="H228" s="180"/>
      <c r="I228" s="21"/>
      <c r="J228" s="21"/>
      <c r="K228" s="200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92"/>
      <c r="B229" s="21"/>
      <c r="C229" s="21"/>
      <c r="D229" s="142"/>
      <c r="E229" s="109"/>
      <c r="F229" s="22"/>
      <c r="G229" s="240"/>
      <c r="H229" s="180"/>
      <c r="I229" s="21"/>
      <c r="J229" s="21"/>
      <c r="K229" s="200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92"/>
      <c r="B230" s="21"/>
      <c r="C230" s="21"/>
      <c r="D230" s="142"/>
      <c r="E230" s="109"/>
      <c r="F230" s="22"/>
      <c r="G230" s="240"/>
      <c r="H230" s="180"/>
      <c r="I230" s="21"/>
      <c r="J230" s="21"/>
      <c r="K230" s="200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92"/>
      <c r="B231" s="21"/>
      <c r="C231" s="21"/>
      <c r="D231" s="142"/>
      <c r="E231" s="109"/>
      <c r="F231" s="22"/>
      <c r="G231" s="240"/>
      <c r="H231" s="180"/>
      <c r="I231" s="21"/>
      <c r="J231" s="21"/>
      <c r="K231" s="200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92"/>
      <c r="B232" s="21"/>
      <c r="C232" s="21"/>
      <c r="D232" s="142"/>
      <c r="E232" s="109"/>
      <c r="F232" s="22"/>
      <c r="G232" s="240"/>
      <c r="H232" s="180"/>
      <c r="I232" s="21"/>
      <c r="J232" s="21"/>
      <c r="K232" s="200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92"/>
      <c r="B233" s="21"/>
      <c r="C233" s="21"/>
      <c r="D233" s="142"/>
      <c r="E233" s="109"/>
      <c r="F233" s="22"/>
      <c r="G233" s="240"/>
      <c r="H233" s="180"/>
      <c r="I233" s="21"/>
      <c r="J233" s="21"/>
      <c r="K233" s="200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92"/>
      <c r="B234" s="21"/>
      <c r="C234" s="21"/>
      <c r="D234" s="142"/>
      <c r="E234" s="109"/>
      <c r="F234" s="22"/>
      <c r="G234" s="240"/>
      <c r="H234" s="180"/>
      <c r="I234" s="21"/>
      <c r="J234" s="21"/>
      <c r="K234" s="200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92"/>
      <c r="B235" s="21"/>
      <c r="C235" s="21"/>
      <c r="D235" s="142"/>
      <c r="E235" s="109"/>
      <c r="F235" s="22"/>
      <c r="G235" s="240"/>
      <c r="H235" s="180"/>
      <c r="I235" s="21"/>
      <c r="J235" s="21"/>
      <c r="K235" s="200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92"/>
      <c r="B236" s="21"/>
      <c r="C236" s="21"/>
      <c r="D236" s="142"/>
      <c r="E236" s="109"/>
      <c r="F236" s="22"/>
      <c r="G236" s="240"/>
      <c r="H236" s="180"/>
      <c r="I236" s="21"/>
      <c r="J236" s="21"/>
      <c r="K236" s="200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92"/>
      <c r="B237" s="21"/>
      <c r="C237" s="21"/>
      <c r="D237" s="142"/>
      <c r="E237" s="109"/>
      <c r="F237" s="22"/>
      <c r="G237" s="240"/>
      <c r="H237" s="180"/>
      <c r="I237" s="21"/>
      <c r="J237" s="21"/>
      <c r="K237" s="200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92"/>
      <c r="B238" s="21"/>
      <c r="C238" s="21"/>
      <c r="D238" s="142"/>
      <c r="E238" s="109"/>
      <c r="F238" s="22"/>
      <c r="G238" s="240"/>
      <c r="H238" s="180"/>
      <c r="I238" s="21"/>
      <c r="J238" s="21"/>
      <c r="K238" s="200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92"/>
      <c r="B239" s="21"/>
      <c r="C239" s="21"/>
      <c r="D239" s="142"/>
      <c r="E239" s="109"/>
      <c r="F239" s="22"/>
      <c r="G239" s="240"/>
      <c r="H239" s="180"/>
      <c r="I239" s="21"/>
      <c r="J239" s="21"/>
      <c r="K239" s="200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92"/>
      <c r="B240" s="21"/>
      <c r="C240" s="21"/>
      <c r="D240" s="142"/>
      <c r="E240" s="109"/>
      <c r="F240" s="22"/>
      <c r="G240" s="240"/>
      <c r="H240" s="180"/>
      <c r="I240" s="21"/>
      <c r="J240" s="21"/>
      <c r="K240" s="200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92"/>
      <c r="B241" s="21"/>
      <c r="C241" s="21"/>
      <c r="D241" s="142"/>
      <c r="E241" s="109"/>
      <c r="F241" s="22"/>
      <c r="G241" s="240"/>
      <c r="H241" s="180"/>
      <c r="I241" s="21"/>
      <c r="J241" s="21"/>
      <c r="K241" s="200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92"/>
      <c r="B242" s="21"/>
      <c r="C242" s="21"/>
      <c r="D242" s="142"/>
      <c r="E242" s="109"/>
      <c r="F242" s="22"/>
      <c r="G242" s="240"/>
      <c r="H242" s="180"/>
      <c r="I242" s="21"/>
      <c r="J242" s="21"/>
      <c r="K242" s="200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92"/>
      <c r="B243" s="21"/>
      <c r="C243" s="21"/>
      <c r="D243" s="142"/>
      <c r="E243" s="109"/>
      <c r="F243" s="22"/>
      <c r="G243" s="240"/>
      <c r="H243" s="180"/>
      <c r="I243" s="21"/>
      <c r="J243" s="21"/>
      <c r="K243" s="200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92"/>
      <c r="B244" s="21"/>
      <c r="C244" s="21"/>
      <c r="D244" s="142"/>
      <c r="E244" s="109"/>
      <c r="F244" s="22"/>
      <c r="G244" s="240"/>
      <c r="H244" s="180"/>
      <c r="I244" s="21"/>
      <c r="J244" s="21"/>
      <c r="K244" s="200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92"/>
      <c r="B245" s="21"/>
      <c r="C245" s="21"/>
      <c r="D245" s="142"/>
      <c r="E245" s="109"/>
      <c r="F245" s="22"/>
      <c r="G245" s="240"/>
      <c r="H245" s="180"/>
      <c r="I245" s="21"/>
      <c r="J245" s="21"/>
      <c r="K245" s="200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92"/>
      <c r="B246" s="21"/>
      <c r="C246" s="21"/>
      <c r="D246" s="142"/>
      <c r="E246" s="109"/>
      <c r="F246" s="22"/>
      <c r="G246" s="240"/>
      <c r="H246" s="180"/>
      <c r="I246" s="21"/>
      <c r="J246" s="21"/>
      <c r="K246" s="200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92"/>
      <c r="B247" s="21"/>
      <c r="C247" s="21"/>
      <c r="D247" s="142"/>
      <c r="E247" s="109"/>
      <c r="F247" s="22"/>
      <c r="G247" s="240"/>
      <c r="H247" s="180"/>
      <c r="I247" s="21"/>
      <c r="J247" s="21"/>
      <c r="K247" s="200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92"/>
      <c r="B248" s="21"/>
      <c r="C248" s="21"/>
      <c r="D248" s="142"/>
      <c r="E248" s="109"/>
      <c r="F248" s="22"/>
      <c r="G248" s="240"/>
      <c r="H248" s="180"/>
      <c r="I248" s="21"/>
      <c r="J248" s="21"/>
      <c r="K248" s="200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92"/>
      <c r="B249" s="21"/>
      <c r="C249" s="21"/>
      <c r="D249" s="142"/>
      <c r="E249" s="109"/>
      <c r="F249" s="22"/>
      <c r="G249" s="240"/>
      <c r="H249" s="180"/>
      <c r="I249" s="21"/>
      <c r="J249" s="21"/>
      <c r="K249" s="200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92"/>
      <c r="B250" s="21"/>
      <c r="C250" s="21"/>
      <c r="D250" s="142"/>
      <c r="E250" s="109"/>
      <c r="F250" s="22"/>
      <c r="G250" s="240"/>
      <c r="H250" s="180"/>
      <c r="I250" s="21"/>
      <c r="J250" s="21"/>
      <c r="K250" s="200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92"/>
      <c r="B251" s="21"/>
      <c r="C251" s="21"/>
      <c r="D251" s="142"/>
      <c r="E251" s="109"/>
      <c r="F251" s="22"/>
      <c r="G251" s="240"/>
      <c r="H251" s="180"/>
      <c r="I251" s="21"/>
      <c r="J251" s="21"/>
      <c r="K251" s="200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92"/>
      <c r="B252" s="21"/>
      <c r="C252" s="21"/>
      <c r="D252" s="142"/>
      <c r="E252" s="109"/>
      <c r="F252" s="22"/>
      <c r="G252" s="240"/>
      <c r="H252" s="180"/>
      <c r="I252" s="21"/>
      <c r="J252" s="21"/>
      <c r="K252" s="200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92"/>
      <c r="B253" s="21"/>
      <c r="C253" s="21"/>
      <c r="D253" s="142"/>
      <c r="E253" s="109"/>
      <c r="F253" s="22"/>
      <c r="G253" s="240"/>
      <c r="H253" s="180"/>
      <c r="I253" s="21"/>
      <c r="J253" s="21"/>
      <c r="K253" s="200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92"/>
      <c r="B254" s="21"/>
      <c r="C254" s="21"/>
      <c r="D254" s="142"/>
      <c r="E254" s="109"/>
      <c r="F254" s="22"/>
      <c r="G254" s="240"/>
      <c r="H254" s="180"/>
      <c r="I254" s="21"/>
      <c r="J254" s="21"/>
      <c r="K254" s="200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92"/>
      <c r="B255" s="21"/>
      <c r="C255" s="21"/>
      <c r="D255" s="142"/>
      <c r="E255" s="109"/>
      <c r="F255" s="22"/>
      <c r="G255" s="240"/>
      <c r="H255" s="180"/>
      <c r="I255" s="21"/>
      <c r="J255" s="21"/>
      <c r="K255" s="200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92"/>
      <c r="B256" s="21"/>
      <c r="C256" s="21"/>
      <c r="D256" s="142"/>
      <c r="E256" s="109"/>
      <c r="F256" s="22"/>
      <c r="G256" s="240"/>
      <c r="H256" s="180"/>
      <c r="I256" s="21"/>
      <c r="J256" s="21"/>
      <c r="K256" s="200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92"/>
      <c r="B257" s="21"/>
      <c r="C257" s="21"/>
      <c r="D257" s="142"/>
      <c r="E257" s="109"/>
      <c r="F257" s="22"/>
      <c r="G257" s="240"/>
      <c r="H257" s="180"/>
      <c r="I257" s="21"/>
      <c r="J257" s="21"/>
      <c r="K257" s="200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92"/>
      <c r="B258" s="21"/>
      <c r="C258" s="21"/>
      <c r="D258" s="142"/>
      <c r="E258" s="109"/>
      <c r="F258" s="22"/>
      <c r="G258" s="240"/>
      <c r="H258" s="180"/>
      <c r="I258" s="21"/>
      <c r="J258" s="21"/>
      <c r="K258" s="200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92"/>
      <c r="B259" s="21"/>
      <c r="C259" s="21"/>
      <c r="D259" s="142"/>
      <c r="E259" s="109"/>
      <c r="F259" s="22"/>
      <c r="G259" s="240"/>
      <c r="H259" s="180"/>
      <c r="I259" s="21"/>
      <c r="J259" s="21"/>
      <c r="K259" s="200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92"/>
      <c r="B260" s="21"/>
      <c r="C260" s="21"/>
      <c r="D260" s="142"/>
      <c r="E260" s="109"/>
      <c r="F260" s="22"/>
      <c r="G260" s="240"/>
      <c r="H260" s="180"/>
      <c r="I260" s="21"/>
      <c r="J260" s="21"/>
      <c r="K260" s="200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92"/>
      <c r="B261" s="21"/>
      <c r="C261" s="21"/>
      <c r="D261" s="142"/>
      <c r="E261" s="109"/>
      <c r="F261" s="22"/>
      <c r="G261" s="240"/>
      <c r="H261" s="180"/>
      <c r="I261" s="21"/>
      <c r="J261" s="21"/>
      <c r="K261" s="200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92"/>
      <c r="B262" s="21"/>
      <c r="C262" s="21"/>
      <c r="D262" s="142"/>
      <c r="E262" s="109"/>
      <c r="F262" s="22"/>
      <c r="G262" s="240"/>
      <c r="H262" s="180"/>
      <c r="I262" s="21"/>
      <c r="J262" s="21"/>
      <c r="K262" s="200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92"/>
      <c r="B263" s="21"/>
      <c r="C263" s="21"/>
      <c r="D263" s="142"/>
      <c r="E263" s="109"/>
      <c r="F263" s="22"/>
      <c r="G263" s="240"/>
      <c r="H263" s="180"/>
      <c r="I263" s="21"/>
      <c r="J263" s="21"/>
      <c r="K263" s="200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92"/>
      <c r="B264" s="21"/>
      <c r="C264" s="21"/>
      <c r="D264" s="142"/>
      <c r="E264" s="109"/>
      <c r="F264" s="22"/>
      <c r="G264" s="240"/>
      <c r="H264" s="180"/>
      <c r="I264" s="21"/>
      <c r="J264" s="21"/>
      <c r="K264" s="200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92"/>
      <c r="B265" s="21"/>
      <c r="C265" s="21"/>
      <c r="D265" s="142"/>
      <c r="E265" s="109"/>
      <c r="F265" s="22"/>
      <c r="G265" s="240"/>
      <c r="H265" s="180"/>
      <c r="I265" s="21"/>
      <c r="J265" s="21"/>
      <c r="K265" s="200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92"/>
      <c r="B266" s="21"/>
      <c r="C266" s="21"/>
      <c r="D266" s="142"/>
      <c r="E266" s="109"/>
      <c r="F266" s="22"/>
      <c r="G266" s="240"/>
      <c r="H266" s="180"/>
      <c r="I266" s="21"/>
      <c r="J266" s="21"/>
      <c r="K266" s="200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92"/>
      <c r="B267" s="21"/>
      <c r="C267" s="21"/>
      <c r="D267" s="142"/>
      <c r="E267" s="109"/>
      <c r="F267" s="22"/>
      <c r="G267" s="240"/>
      <c r="H267" s="180"/>
      <c r="I267" s="21"/>
      <c r="J267" s="21"/>
      <c r="K267" s="200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92"/>
      <c r="B268" s="21"/>
      <c r="C268" s="21"/>
      <c r="D268" s="142"/>
      <c r="E268" s="109"/>
      <c r="F268" s="22"/>
      <c r="G268" s="240"/>
      <c r="H268" s="180"/>
      <c r="I268" s="21"/>
      <c r="J268" s="21"/>
      <c r="K268" s="200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92"/>
      <c r="B269" s="21"/>
      <c r="C269" s="21"/>
      <c r="D269" s="142"/>
      <c r="E269" s="109"/>
      <c r="F269" s="22"/>
      <c r="G269" s="240"/>
      <c r="H269" s="180"/>
      <c r="I269" s="21"/>
      <c r="J269" s="21"/>
      <c r="K269" s="200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92"/>
      <c r="B270" s="21"/>
      <c r="C270" s="21"/>
      <c r="D270" s="142"/>
      <c r="E270" s="109"/>
      <c r="F270" s="22"/>
      <c r="G270" s="240"/>
      <c r="H270" s="180"/>
      <c r="I270" s="21"/>
      <c r="J270" s="21"/>
      <c r="K270" s="200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92"/>
      <c r="B271" s="21"/>
      <c r="C271" s="21"/>
      <c r="D271" s="142"/>
      <c r="E271" s="109"/>
      <c r="F271" s="22"/>
      <c r="G271" s="240"/>
      <c r="H271" s="180"/>
      <c r="I271" s="21"/>
      <c r="J271" s="21"/>
      <c r="K271" s="200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92"/>
      <c r="B272" s="21"/>
      <c r="C272" s="21"/>
      <c r="D272" s="142"/>
      <c r="E272" s="109"/>
      <c r="F272" s="22"/>
      <c r="G272" s="240"/>
      <c r="H272" s="180"/>
      <c r="I272" s="21"/>
      <c r="J272" s="21"/>
      <c r="K272" s="200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92"/>
      <c r="B273" s="21"/>
      <c r="C273" s="21"/>
      <c r="D273" s="142"/>
      <c r="E273" s="109"/>
      <c r="F273" s="22"/>
      <c r="G273" s="240"/>
      <c r="H273" s="180"/>
      <c r="I273" s="21"/>
      <c r="J273" s="21"/>
      <c r="K273" s="200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92"/>
      <c r="B274" s="21"/>
      <c r="C274" s="21"/>
      <c r="D274" s="142"/>
      <c r="E274" s="109"/>
      <c r="F274" s="22"/>
      <c r="G274" s="240"/>
      <c r="H274" s="180"/>
      <c r="I274" s="21"/>
      <c r="J274" s="21"/>
      <c r="K274" s="200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92"/>
      <c r="B275" s="21"/>
      <c r="C275" s="21"/>
      <c r="D275" s="142"/>
      <c r="E275" s="109"/>
      <c r="F275" s="22"/>
      <c r="G275" s="240"/>
      <c r="H275" s="180"/>
      <c r="I275" s="21"/>
      <c r="J275" s="21"/>
      <c r="K275" s="200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92"/>
      <c r="B276" s="21"/>
      <c r="C276" s="21"/>
      <c r="D276" s="142"/>
      <c r="E276" s="109"/>
      <c r="F276" s="22"/>
      <c r="G276" s="240"/>
      <c r="H276" s="180"/>
      <c r="I276" s="21"/>
      <c r="J276" s="21"/>
      <c r="K276" s="200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92"/>
      <c r="B277" s="21"/>
      <c r="C277" s="21"/>
      <c r="D277" s="142"/>
      <c r="E277" s="109"/>
      <c r="F277" s="22"/>
      <c r="G277" s="240"/>
      <c r="H277" s="180"/>
      <c r="I277" s="21"/>
      <c r="J277" s="21"/>
      <c r="K277" s="200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92"/>
      <c r="B278" s="21"/>
      <c r="C278" s="21"/>
      <c r="D278" s="142"/>
      <c r="E278" s="109"/>
      <c r="F278" s="22"/>
      <c r="G278" s="240"/>
      <c r="H278" s="180"/>
      <c r="I278" s="21"/>
      <c r="J278" s="21"/>
      <c r="K278" s="200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92"/>
      <c r="B279" s="21"/>
      <c r="C279" s="21"/>
      <c r="D279" s="142"/>
      <c r="E279" s="109"/>
      <c r="F279" s="22"/>
      <c r="G279" s="240"/>
      <c r="H279" s="180"/>
      <c r="I279" s="21"/>
      <c r="J279" s="21"/>
      <c r="K279" s="200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92"/>
      <c r="B280" s="21"/>
      <c r="C280" s="21"/>
      <c r="D280" s="142"/>
      <c r="E280" s="109"/>
      <c r="F280" s="22"/>
      <c r="G280" s="240"/>
      <c r="H280" s="180"/>
      <c r="I280" s="21"/>
      <c r="J280" s="21"/>
      <c r="K280" s="200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92"/>
      <c r="B281" s="21"/>
      <c r="C281" s="21"/>
      <c r="D281" s="142"/>
      <c r="E281" s="109"/>
      <c r="F281" s="22"/>
      <c r="G281" s="240"/>
      <c r="H281" s="180"/>
      <c r="I281" s="21"/>
      <c r="J281" s="21"/>
      <c r="K281" s="200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92"/>
      <c r="B282" s="21"/>
      <c r="C282" s="21"/>
      <c r="D282" s="142"/>
      <c r="E282" s="109"/>
      <c r="F282" s="22"/>
      <c r="G282" s="240"/>
      <c r="H282" s="180"/>
      <c r="I282" s="21"/>
      <c r="J282" s="21"/>
      <c r="K282" s="200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92"/>
      <c r="B283" s="21"/>
      <c r="C283" s="21"/>
      <c r="D283" s="142"/>
      <c r="E283" s="109"/>
      <c r="F283" s="22"/>
      <c r="G283" s="240"/>
      <c r="H283" s="180"/>
      <c r="I283" s="21"/>
      <c r="J283" s="21"/>
      <c r="K283" s="200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92"/>
      <c r="B284" s="21"/>
      <c r="C284" s="21"/>
      <c r="D284" s="142"/>
      <c r="E284" s="109"/>
      <c r="F284" s="22"/>
      <c r="G284" s="240"/>
      <c r="H284" s="180"/>
      <c r="I284" s="21"/>
      <c r="J284" s="21"/>
      <c r="K284" s="200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92"/>
      <c r="B285" s="21"/>
      <c r="C285" s="21"/>
      <c r="D285" s="142"/>
      <c r="E285" s="109"/>
      <c r="F285" s="22"/>
      <c r="G285" s="240"/>
      <c r="H285" s="180"/>
      <c r="I285" s="21"/>
      <c r="J285" s="21"/>
      <c r="K285" s="200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92"/>
      <c r="B286" s="21"/>
      <c r="C286" s="21"/>
      <c r="D286" s="142"/>
      <c r="E286" s="109"/>
      <c r="F286" s="22"/>
      <c r="G286" s="240"/>
      <c r="H286" s="180"/>
      <c r="I286" s="21"/>
      <c r="J286" s="21"/>
      <c r="K286" s="200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92"/>
      <c r="B287" s="21"/>
      <c r="C287" s="21"/>
      <c r="D287" s="142"/>
      <c r="E287" s="109"/>
      <c r="F287" s="22"/>
      <c r="G287" s="240"/>
      <c r="H287" s="180"/>
      <c r="I287" s="21"/>
      <c r="J287" s="21"/>
      <c r="K287" s="200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92"/>
      <c r="B288" s="21"/>
      <c r="C288" s="21"/>
      <c r="D288" s="142"/>
      <c r="E288" s="109"/>
      <c r="F288" s="22"/>
      <c r="G288" s="240"/>
      <c r="H288" s="180"/>
      <c r="I288" s="21"/>
      <c r="J288" s="21"/>
      <c r="K288" s="200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92"/>
      <c r="B289" s="21"/>
      <c r="C289" s="21"/>
      <c r="D289" s="142"/>
      <c r="E289" s="109"/>
      <c r="F289" s="22"/>
      <c r="G289" s="240"/>
      <c r="H289" s="180"/>
      <c r="I289" s="21"/>
      <c r="J289" s="21"/>
      <c r="K289" s="200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92"/>
      <c r="B290" s="21"/>
      <c r="C290" s="21"/>
      <c r="D290" s="142"/>
      <c r="E290" s="109"/>
      <c r="F290" s="22"/>
      <c r="G290" s="240"/>
      <c r="H290" s="180"/>
      <c r="I290" s="21"/>
      <c r="J290" s="21"/>
      <c r="K290" s="200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92"/>
      <c r="B291" s="21"/>
      <c r="C291" s="21"/>
      <c r="D291" s="142"/>
      <c r="E291" s="109"/>
      <c r="F291" s="22"/>
      <c r="G291" s="240"/>
      <c r="H291" s="180"/>
      <c r="I291" s="21"/>
      <c r="J291" s="21"/>
      <c r="K291" s="200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92"/>
      <c r="B292" s="21"/>
      <c r="C292" s="21"/>
      <c r="D292" s="142"/>
      <c r="E292" s="109"/>
      <c r="F292" s="22"/>
      <c r="G292" s="240"/>
      <c r="H292" s="180"/>
      <c r="I292" s="21"/>
      <c r="J292" s="21"/>
      <c r="K292" s="200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92"/>
      <c r="B293" s="21"/>
      <c r="C293" s="21"/>
      <c r="D293" s="142"/>
      <c r="E293" s="109"/>
      <c r="F293" s="22"/>
      <c r="G293" s="240"/>
      <c r="H293" s="180"/>
      <c r="I293" s="21"/>
      <c r="J293" s="21"/>
      <c r="K293" s="200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92"/>
      <c r="B294" s="21"/>
      <c r="C294" s="21"/>
      <c r="D294" s="142"/>
      <c r="E294" s="109"/>
      <c r="F294" s="22"/>
      <c r="G294" s="240"/>
      <c r="H294" s="180"/>
      <c r="I294" s="21"/>
      <c r="J294" s="21"/>
      <c r="K294" s="200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92"/>
      <c r="B295" s="21"/>
      <c r="C295" s="21"/>
      <c r="D295" s="142"/>
      <c r="E295" s="109"/>
      <c r="F295" s="22"/>
      <c r="G295" s="240"/>
      <c r="H295" s="180"/>
      <c r="I295" s="21"/>
      <c r="J295" s="21"/>
      <c r="K295" s="200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92"/>
      <c r="B296" s="21"/>
      <c r="C296" s="21"/>
      <c r="D296" s="142"/>
      <c r="E296" s="109"/>
      <c r="F296" s="22"/>
      <c r="G296" s="240"/>
      <c r="H296" s="180"/>
      <c r="I296" s="21"/>
      <c r="J296" s="21"/>
      <c r="K296" s="200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92"/>
      <c r="B297" s="21"/>
      <c r="C297" s="21"/>
      <c r="D297" s="142"/>
      <c r="E297" s="109"/>
      <c r="F297" s="22"/>
      <c r="G297" s="240"/>
      <c r="H297" s="180"/>
      <c r="I297" s="21"/>
      <c r="J297" s="21"/>
      <c r="K297" s="200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92"/>
      <c r="B298" s="21"/>
      <c r="C298" s="21"/>
      <c r="D298" s="142"/>
      <c r="E298" s="109"/>
      <c r="F298" s="22"/>
      <c r="G298" s="240"/>
      <c r="H298" s="180"/>
      <c r="I298" s="21"/>
      <c r="J298" s="21"/>
      <c r="K298" s="200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92"/>
      <c r="B299" s="21"/>
      <c r="C299" s="21"/>
      <c r="D299" s="142"/>
      <c r="E299" s="109"/>
      <c r="F299" s="22"/>
      <c r="G299" s="240"/>
      <c r="H299" s="180"/>
      <c r="I299" s="21"/>
      <c r="J299" s="21"/>
      <c r="K299" s="200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92"/>
      <c r="B300" s="21"/>
      <c r="C300" s="21"/>
      <c r="D300" s="142"/>
      <c r="E300" s="109"/>
      <c r="F300" s="22"/>
      <c r="G300" s="240"/>
      <c r="H300" s="180"/>
      <c r="I300" s="21"/>
      <c r="J300" s="21"/>
      <c r="K300" s="200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92"/>
      <c r="B301" s="21"/>
      <c r="C301" s="21"/>
      <c r="D301" s="142"/>
      <c r="E301" s="109"/>
      <c r="F301" s="22"/>
      <c r="G301" s="240"/>
      <c r="H301" s="180"/>
      <c r="I301" s="21"/>
      <c r="J301" s="21"/>
      <c r="K301" s="200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92"/>
      <c r="B302" s="21"/>
      <c r="C302" s="21"/>
      <c r="D302" s="142"/>
      <c r="E302" s="109"/>
      <c r="F302" s="22"/>
      <c r="G302" s="240"/>
      <c r="H302" s="180"/>
      <c r="I302" s="21"/>
      <c r="J302" s="21"/>
      <c r="K302" s="200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92"/>
      <c r="B303" s="21"/>
      <c r="C303" s="21"/>
      <c r="D303" s="142"/>
      <c r="E303" s="109"/>
      <c r="F303" s="22"/>
      <c r="G303" s="240"/>
      <c r="H303" s="180"/>
      <c r="I303" s="21"/>
      <c r="J303" s="21"/>
      <c r="K303" s="200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92"/>
      <c r="B304" s="21"/>
      <c r="C304" s="21"/>
      <c r="D304" s="142"/>
      <c r="E304" s="109"/>
      <c r="F304" s="22"/>
      <c r="G304" s="240"/>
      <c r="H304" s="180"/>
      <c r="I304" s="21"/>
      <c r="J304" s="21"/>
      <c r="K304" s="200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92"/>
      <c r="B305" s="21"/>
      <c r="C305" s="21"/>
      <c r="D305" s="142"/>
      <c r="E305" s="109"/>
      <c r="F305" s="22"/>
      <c r="G305" s="240"/>
      <c r="H305" s="180"/>
      <c r="I305" s="21"/>
      <c r="J305" s="21"/>
      <c r="K305" s="200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92"/>
      <c r="B306" s="21"/>
      <c r="C306" s="21"/>
      <c r="D306" s="142"/>
      <c r="E306" s="109"/>
      <c r="F306" s="22"/>
      <c r="G306" s="240"/>
      <c r="H306" s="180"/>
      <c r="I306" s="21"/>
      <c r="J306" s="21"/>
      <c r="K306" s="200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92"/>
      <c r="B307" s="21"/>
      <c r="C307" s="21"/>
      <c r="D307" s="142"/>
      <c r="E307" s="109"/>
      <c r="F307" s="22"/>
      <c r="G307" s="240"/>
      <c r="H307" s="180"/>
      <c r="I307" s="21"/>
      <c r="J307" s="21"/>
      <c r="K307" s="200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92"/>
      <c r="B308" s="21"/>
      <c r="C308" s="21"/>
      <c r="D308" s="142"/>
      <c r="E308" s="109"/>
      <c r="F308" s="22"/>
      <c r="G308" s="240"/>
      <c r="H308" s="180"/>
      <c r="I308" s="21"/>
      <c r="J308" s="21"/>
      <c r="K308" s="200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92"/>
      <c r="B309" s="21"/>
      <c r="C309" s="21"/>
      <c r="D309" s="142"/>
      <c r="E309" s="109"/>
      <c r="F309" s="22"/>
      <c r="G309" s="240"/>
      <c r="H309" s="180"/>
      <c r="I309" s="21"/>
      <c r="J309" s="21"/>
      <c r="K309" s="200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92"/>
      <c r="B310" s="21"/>
      <c r="C310" s="21"/>
      <c r="D310" s="142"/>
      <c r="E310" s="109"/>
      <c r="F310" s="22"/>
      <c r="G310" s="240"/>
      <c r="H310" s="180"/>
      <c r="I310" s="21"/>
      <c r="J310" s="21"/>
      <c r="K310" s="200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92"/>
      <c r="B311" s="21"/>
      <c r="C311" s="21"/>
      <c r="D311" s="142"/>
      <c r="E311" s="109"/>
      <c r="F311" s="22"/>
      <c r="G311" s="240"/>
      <c r="H311" s="180"/>
      <c r="I311" s="21"/>
      <c r="J311" s="21"/>
      <c r="K311" s="200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92"/>
      <c r="B312" s="21"/>
      <c r="C312" s="21"/>
      <c r="D312" s="142"/>
      <c r="E312" s="109"/>
      <c r="F312" s="22"/>
      <c r="G312" s="240"/>
      <c r="H312" s="180"/>
      <c r="I312" s="21"/>
      <c r="J312" s="21"/>
      <c r="K312" s="200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92"/>
      <c r="B313" s="21"/>
      <c r="C313" s="21"/>
      <c r="D313" s="142"/>
      <c r="E313" s="109"/>
      <c r="F313" s="22"/>
      <c r="G313" s="240"/>
      <c r="H313" s="180"/>
      <c r="I313" s="21"/>
      <c r="J313" s="21"/>
      <c r="K313" s="200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92"/>
      <c r="B314" s="21"/>
      <c r="C314" s="21"/>
      <c r="D314" s="142"/>
      <c r="E314" s="109"/>
      <c r="F314" s="22"/>
      <c r="G314" s="240"/>
      <c r="H314" s="180"/>
      <c r="I314" s="21"/>
      <c r="J314" s="21"/>
      <c r="K314" s="200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92"/>
      <c r="B315" s="21"/>
      <c r="C315" s="21"/>
      <c r="D315" s="142"/>
      <c r="E315" s="109"/>
      <c r="F315" s="22"/>
      <c r="G315" s="240"/>
      <c r="H315" s="180"/>
      <c r="I315" s="21"/>
      <c r="J315" s="21"/>
      <c r="K315" s="200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92"/>
      <c r="B316" s="21"/>
      <c r="C316" s="21"/>
      <c r="D316" s="142"/>
      <c r="E316" s="109"/>
      <c r="F316" s="22"/>
      <c r="G316" s="240"/>
      <c r="H316" s="180"/>
      <c r="I316" s="21"/>
      <c r="J316" s="21"/>
      <c r="K316" s="200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92"/>
      <c r="B317" s="21"/>
      <c r="C317" s="21"/>
      <c r="D317" s="142"/>
      <c r="E317" s="109"/>
      <c r="F317" s="22"/>
      <c r="G317" s="240"/>
      <c r="H317" s="180"/>
      <c r="I317" s="21"/>
      <c r="J317" s="21"/>
      <c r="K317" s="200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92"/>
      <c r="B318" s="21"/>
      <c r="C318" s="21"/>
      <c r="D318" s="142"/>
      <c r="E318" s="109"/>
      <c r="F318" s="22"/>
      <c r="G318" s="240"/>
      <c r="H318" s="180"/>
      <c r="I318" s="21"/>
      <c r="J318" s="21"/>
      <c r="K318" s="200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92"/>
      <c r="B319" s="21"/>
      <c r="C319" s="21"/>
      <c r="D319" s="142"/>
      <c r="E319" s="109"/>
      <c r="F319" s="22"/>
      <c r="G319" s="240"/>
      <c r="H319" s="180"/>
      <c r="I319" s="21"/>
      <c r="J319" s="21"/>
      <c r="K319" s="200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92"/>
      <c r="B320" s="21"/>
      <c r="C320" s="21"/>
      <c r="D320" s="142"/>
      <c r="E320" s="109"/>
      <c r="F320" s="22"/>
      <c r="G320" s="240"/>
      <c r="H320" s="180"/>
      <c r="I320" s="21"/>
      <c r="J320" s="21"/>
      <c r="K320" s="200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92"/>
      <c r="B321" s="21"/>
      <c r="C321" s="21"/>
      <c r="D321" s="142"/>
      <c r="E321" s="109"/>
      <c r="F321" s="22"/>
      <c r="G321" s="240"/>
      <c r="H321" s="180"/>
      <c r="I321" s="21"/>
      <c r="J321" s="21"/>
      <c r="K321" s="200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92"/>
      <c r="B322" s="21"/>
      <c r="C322" s="21"/>
      <c r="D322" s="142"/>
      <c r="E322" s="109"/>
      <c r="F322" s="22"/>
      <c r="G322" s="240"/>
      <c r="H322" s="180"/>
      <c r="I322" s="21"/>
      <c r="J322" s="21"/>
      <c r="K322" s="200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92"/>
      <c r="B323" s="21"/>
      <c r="C323" s="21"/>
      <c r="D323" s="142"/>
      <c r="E323" s="109"/>
      <c r="F323" s="22"/>
      <c r="G323" s="240"/>
      <c r="H323" s="180"/>
      <c r="I323" s="21"/>
      <c r="J323" s="21"/>
      <c r="K323" s="200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92"/>
      <c r="B324" s="21"/>
      <c r="C324" s="21"/>
      <c r="D324" s="142"/>
      <c r="E324" s="109"/>
      <c r="F324" s="22"/>
      <c r="G324" s="240"/>
      <c r="H324" s="180"/>
      <c r="I324" s="21"/>
      <c r="J324" s="21"/>
      <c r="K324" s="200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92"/>
      <c r="B325" s="21"/>
      <c r="C325" s="21"/>
      <c r="D325" s="142"/>
      <c r="E325" s="109"/>
      <c r="F325" s="22"/>
      <c r="G325" s="240"/>
      <c r="H325" s="180"/>
      <c r="I325" s="21"/>
      <c r="J325" s="21"/>
      <c r="K325" s="200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92"/>
      <c r="B326" s="21"/>
      <c r="C326" s="21"/>
      <c r="D326" s="142"/>
      <c r="E326" s="109"/>
      <c r="F326" s="22"/>
      <c r="G326" s="240"/>
      <c r="H326" s="180"/>
      <c r="I326" s="21"/>
      <c r="J326" s="21"/>
      <c r="K326" s="200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92"/>
      <c r="B327" s="21"/>
      <c r="C327" s="21"/>
      <c r="D327" s="142"/>
      <c r="E327" s="109"/>
      <c r="F327" s="22"/>
      <c r="G327" s="240"/>
      <c r="H327" s="180"/>
      <c r="I327" s="21"/>
      <c r="J327" s="21"/>
      <c r="K327" s="200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92"/>
      <c r="B328" s="21"/>
      <c r="C328" s="21"/>
      <c r="D328" s="142"/>
      <c r="E328" s="109"/>
      <c r="F328" s="22"/>
      <c r="G328" s="240"/>
      <c r="H328" s="180"/>
      <c r="I328" s="21"/>
      <c r="J328" s="21"/>
      <c r="K328" s="200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92"/>
      <c r="B329" s="21"/>
      <c r="C329" s="21"/>
      <c r="D329" s="142"/>
      <c r="E329" s="109"/>
      <c r="F329" s="22"/>
      <c r="G329" s="240"/>
      <c r="H329" s="180"/>
      <c r="I329" s="21"/>
      <c r="J329" s="21"/>
      <c r="K329" s="200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92"/>
      <c r="B330" s="21"/>
      <c r="C330" s="21"/>
      <c r="D330" s="142"/>
      <c r="E330" s="109"/>
      <c r="F330" s="22"/>
      <c r="G330" s="240"/>
      <c r="H330" s="180"/>
      <c r="I330" s="21"/>
      <c r="J330" s="21"/>
      <c r="K330" s="200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92"/>
      <c r="B331" s="21"/>
      <c r="C331" s="21"/>
      <c r="D331" s="142"/>
      <c r="E331" s="109"/>
      <c r="F331" s="22"/>
      <c r="G331" s="240"/>
      <c r="H331" s="180"/>
      <c r="I331" s="21"/>
      <c r="J331" s="21"/>
      <c r="K331" s="200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92"/>
      <c r="B332" s="21"/>
      <c r="C332" s="21"/>
      <c r="D332" s="142"/>
      <c r="E332" s="109"/>
      <c r="F332" s="22"/>
      <c r="G332" s="240"/>
      <c r="H332" s="180"/>
      <c r="I332" s="21"/>
      <c r="J332" s="21"/>
      <c r="K332" s="200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92"/>
      <c r="B333" s="21"/>
      <c r="C333" s="21"/>
      <c r="D333" s="142"/>
      <c r="E333" s="109"/>
      <c r="F333" s="22"/>
      <c r="G333" s="240"/>
      <c r="H333" s="180"/>
      <c r="I333" s="21"/>
      <c r="J333" s="21"/>
      <c r="K333" s="200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92"/>
      <c r="B334" s="21"/>
      <c r="C334" s="21"/>
      <c r="D334" s="142"/>
      <c r="E334" s="109"/>
      <c r="F334" s="22"/>
      <c r="G334" s="240"/>
      <c r="H334" s="180"/>
      <c r="I334" s="21"/>
      <c r="J334" s="21"/>
      <c r="K334" s="200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92"/>
      <c r="B335" s="21"/>
      <c r="C335" s="21"/>
      <c r="D335" s="142"/>
      <c r="E335" s="109"/>
      <c r="F335" s="22"/>
      <c r="G335" s="240"/>
      <c r="H335" s="180"/>
      <c r="I335" s="21"/>
      <c r="J335" s="21"/>
      <c r="K335" s="200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92"/>
      <c r="B336" s="21"/>
      <c r="C336" s="21"/>
      <c r="D336" s="142"/>
      <c r="E336" s="109"/>
      <c r="F336" s="22"/>
      <c r="G336" s="240"/>
      <c r="H336" s="180"/>
      <c r="I336" s="21"/>
      <c r="J336" s="21"/>
      <c r="K336" s="200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92"/>
      <c r="B337" s="21"/>
      <c r="C337" s="21"/>
      <c r="D337" s="142"/>
      <c r="E337" s="109"/>
      <c r="F337" s="22"/>
      <c r="G337" s="240"/>
      <c r="H337" s="180"/>
      <c r="I337" s="21"/>
      <c r="J337" s="21"/>
      <c r="K337" s="200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92"/>
      <c r="B338" s="21"/>
      <c r="C338" s="21"/>
      <c r="D338" s="142"/>
      <c r="E338" s="109"/>
      <c r="F338" s="22"/>
      <c r="G338" s="240"/>
      <c r="H338" s="180"/>
      <c r="I338" s="21"/>
      <c r="J338" s="21"/>
      <c r="K338" s="200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92"/>
      <c r="B339" s="21"/>
      <c r="C339" s="21"/>
      <c r="D339" s="142"/>
      <c r="E339" s="109"/>
      <c r="F339" s="22"/>
      <c r="G339" s="240"/>
      <c r="H339" s="180"/>
      <c r="I339" s="21"/>
      <c r="J339" s="21"/>
      <c r="K339" s="200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92"/>
      <c r="B340" s="21"/>
      <c r="C340" s="21"/>
      <c r="D340" s="142"/>
      <c r="E340" s="109"/>
      <c r="F340" s="22"/>
      <c r="G340" s="240"/>
      <c r="H340" s="180"/>
      <c r="I340" s="21"/>
      <c r="J340" s="21"/>
      <c r="K340" s="200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92"/>
      <c r="B341" s="21"/>
      <c r="C341" s="21"/>
      <c r="D341" s="142"/>
      <c r="E341" s="109"/>
      <c r="F341" s="22"/>
      <c r="G341" s="240"/>
      <c r="H341" s="180"/>
      <c r="I341" s="21"/>
      <c r="J341" s="21"/>
      <c r="K341" s="200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92"/>
      <c r="B342" s="21"/>
      <c r="C342" s="21"/>
      <c r="D342" s="142"/>
      <c r="E342" s="109"/>
      <c r="F342" s="22"/>
      <c r="G342" s="240"/>
      <c r="H342" s="180"/>
      <c r="I342" s="21"/>
      <c r="J342" s="21"/>
      <c r="K342" s="200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92"/>
      <c r="B343" s="21"/>
      <c r="C343" s="21"/>
      <c r="D343" s="142"/>
      <c r="E343" s="109"/>
      <c r="F343" s="22"/>
      <c r="G343" s="240"/>
      <c r="H343" s="180"/>
      <c r="I343" s="21"/>
      <c r="J343" s="21"/>
      <c r="K343" s="200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92"/>
      <c r="B344" s="21"/>
      <c r="C344" s="21"/>
      <c r="D344" s="142"/>
      <c r="E344" s="109"/>
      <c r="F344" s="22"/>
      <c r="G344" s="240"/>
      <c r="H344" s="180"/>
      <c r="I344" s="21"/>
      <c r="J344" s="21"/>
      <c r="K344" s="200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92"/>
      <c r="B345" s="21"/>
      <c r="C345" s="21"/>
      <c r="D345" s="142"/>
      <c r="E345" s="109"/>
      <c r="F345" s="22"/>
      <c r="G345" s="240"/>
      <c r="H345" s="180"/>
      <c r="I345" s="21"/>
      <c r="J345" s="21"/>
      <c r="K345" s="200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92"/>
      <c r="B346" s="21"/>
      <c r="C346" s="21"/>
      <c r="D346" s="142"/>
      <c r="E346" s="109"/>
      <c r="F346" s="22"/>
      <c r="G346" s="240"/>
      <c r="H346" s="180"/>
      <c r="I346" s="21"/>
      <c r="J346" s="21"/>
      <c r="K346" s="200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92"/>
      <c r="B347" s="21"/>
      <c r="C347" s="21"/>
      <c r="D347" s="142"/>
      <c r="E347" s="109"/>
      <c r="F347" s="22"/>
      <c r="G347" s="240"/>
      <c r="H347" s="180"/>
      <c r="I347" s="21"/>
      <c r="J347" s="21"/>
      <c r="K347" s="200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92"/>
      <c r="B348" s="21"/>
      <c r="C348" s="21"/>
      <c r="D348" s="142"/>
      <c r="E348" s="109"/>
      <c r="F348" s="22"/>
      <c r="G348" s="240"/>
      <c r="H348" s="180"/>
      <c r="I348" s="21"/>
      <c r="J348" s="21"/>
      <c r="K348" s="200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92"/>
      <c r="B349" s="21"/>
      <c r="C349" s="21"/>
      <c r="D349" s="142"/>
      <c r="E349" s="109"/>
      <c r="F349" s="22"/>
      <c r="G349" s="240"/>
      <c r="H349" s="180"/>
      <c r="I349" s="21"/>
      <c r="J349" s="21"/>
      <c r="K349" s="200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92"/>
      <c r="B350" s="21"/>
      <c r="C350" s="21"/>
      <c r="D350" s="142"/>
      <c r="E350" s="109"/>
      <c r="F350" s="22"/>
      <c r="G350" s="240"/>
      <c r="H350" s="180"/>
      <c r="I350" s="21"/>
      <c r="J350" s="21"/>
      <c r="K350" s="200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92"/>
      <c r="B351" s="21"/>
      <c r="C351" s="21"/>
      <c r="D351" s="142"/>
      <c r="E351" s="109"/>
      <c r="F351" s="22"/>
      <c r="G351" s="240"/>
      <c r="H351" s="180"/>
      <c r="I351" s="21"/>
      <c r="J351" s="21"/>
      <c r="K351" s="200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92"/>
      <c r="B352" s="21"/>
      <c r="C352" s="21"/>
      <c r="D352" s="142"/>
      <c r="E352" s="109"/>
      <c r="F352" s="22"/>
      <c r="G352" s="240"/>
      <c r="H352" s="180"/>
      <c r="I352" s="21"/>
      <c r="J352" s="21"/>
      <c r="K352" s="200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92"/>
      <c r="B353" s="21"/>
      <c r="C353" s="21"/>
      <c r="D353" s="142"/>
      <c r="E353" s="109"/>
      <c r="F353" s="22"/>
      <c r="G353" s="240"/>
      <c r="H353" s="180"/>
      <c r="I353" s="21"/>
      <c r="J353" s="21"/>
      <c r="K353" s="200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92"/>
      <c r="B354" s="21"/>
      <c r="C354" s="21"/>
      <c r="D354" s="142"/>
      <c r="E354" s="109"/>
      <c r="F354" s="22"/>
      <c r="G354" s="240"/>
      <c r="H354" s="180"/>
      <c r="I354" s="21"/>
      <c r="J354" s="21"/>
      <c r="K354" s="200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92"/>
      <c r="B355" s="21"/>
      <c r="C355" s="21"/>
      <c r="D355" s="142"/>
      <c r="E355" s="109"/>
      <c r="F355" s="22"/>
      <c r="G355" s="240"/>
      <c r="H355" s="180"/>
      <c r="I355" s="21"/>
      <c r="J355" s="21"/>
      <c r="K355" s="200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92"/>
      <c r="B356" s="21"/>
      <c r="C356" s="21"/>
      <c r="D356" s="142"/>
      <c r="E356" s="109"/>
      <c r="F356" s="22"/>
      <c r="G356" s="240"/>
      <c r="H356" s="180"/>
      <c r="I356" s="21"/>
      <c r="J356" s="21"/>
      <c r="K356" s="200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92"/>
      <c r="B357" s="21"/>
      <c r="C357" s="21"/>
      <c r="D357" s="142"/>
      <c r="E357" s="109"/>
      <c r="F357" s="22"/>
      <c r="G357" s="240"/>
      <c r="H357" s="180"/>
      <c r="I357" s="21"/>
      <c r="J357" s="21"/>
      <c r="K357" s="200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92"/>
      <c r="B358" s="21"/>
      <c r="C358" s="21"/>
      <c r="D358" s="142"/>
      <c r="E358" s="109"/>
      <c r="F358" s="22"/>
      <c r="G358" s="240"/>
      <c r="H358" s="180"/>
      <c r="I358" s="21"/>
      <c r="J358" s="21"/>
      <c r="K358" s="200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92"/>
      <c r="B359" s="21"/>
      <c r="C359" s="21"/>
      <c r="D359" s="142"/>
      <c r="E359" s="109"/>
      <c r="F359" s="22"/>
      <c r="G359" s="240"/>
      <c r="H359" s="180"/>
      <c r="I359" s="21"/>
      <c r="J359" s="21"/>
      <c r="K359" s="200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92"/>
      <c r="B360" s="21"/>
      <c r="C360" s="21"/>
      <c r="D360" s="142"/>
      <c r="E360" s="109"/>
      <c r="F360" s="22"/>
      <c r="G360" s="240"/>
      <c r="H360" s="180"/>
      <c r="I360" s="21"/>
      <c r="J360" s="21"/>
      <c r="K360" s="200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92"/>
      <c r="B361" s="21"/>
      <c r="C361" s="21"/>
      <c r="D361" s="142"/>
      <c r="E361" s="109"/>
      <c r="F361" s="22"/>
      <c r="G361" s="240"/>
      <c r="H361" s="180"/>
      <c r="I361" s="21"/>
      <c r="J361" s="21"/>
      <c r="K361" s="200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92"/>
      <c r="B362" s="21"/>
      <c r="C362" s="21"/>
      <c r="D362" s="142"/>
      <c r="E362" s="109"/>
      <c r="F362" s="22"/>
      <c r="G362" s="240"/>
      <c r="H362" s="180"/>
      <c r="I362" s="21"/>
      <c r="J362" s="21"/>
      <c r="K362" s="200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92"/>
      <c r="B363" s="21"/>
      <c r="C363" s="21"/>
      <c r="D363" s="142"/>
      <c r="E363" s="109"/>
      <c r="F363" s="22"/>
      <c r="G363" s="240"/>
      <c r="H363" s="180"/>
      <c r="I363" s="21"/>
      <c r="J363" s="21"/>
      <c r="K363" s="200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92"/>
      <c r="B364" s="21"/>
      <c r="C364" s="21"/>
      <c r="D364" s="142"/>
      <c r="E364" s="109"/>
      <c r="F364" s="22"/>
      <c r="G364" s="240"/>
      <c r="H364" s="180"/>
      <c r="I364" s="21"/>
      <c r="J364" s="21"/>
      <c r="K364" s="200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92"/>
      <c r="B365" s="21"/>
      <c r="C365" s="21"/>
      <c r="D365" s="142"/>
      <c r="E365" s="109"/>
      <c r="F365" s="22"/>
      <c r="G365" s="240"/>
      <c r="H365" s="180"/>
      <c r="I365" s="21"/>
      <c r="J365" s="21"/>
      <c r="K365" s="200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92"/>
      <c r="B366" s="21"/>
      <c r="C366" s="21"/>
      <c r="D366" s="142"/>
      <c r="E366" s="109"/>
      <c r="F366" s="22"/>
      <c r="G366" s="240"/>
      <c r="H366" s="180"/>
      <c r="I366" s="21"/>
      <c r="J366" s="21"/>
      <c r="K366" s="200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92"/>
      <c r="B367" s="21"/>
      <c r="C367" s="21"/>
      <c r="D367" s="142"/>
      <c r="E367" s="109"/>
      <c r="F367" s="22"/>
      <c r="G367" s="240"/>
      <c r="H367" s="180"/>
      <c r="I367" s="21"/>
      <c r="J367" s="21"/>
      <c r="K367" s="200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92"/>
      <c r="B368" s="21"/>
      <c r="C368" s="21"/>
      <c r="D368" s="142"/>
      <c r="E368" s="109"/>
      <c r="F368" s="22"/>
      <c r="G368" s="240"/>
      <c r="H368" s="180"/>
      <c r="I368" s="21"/>
      <c r="J368" s="21"/>
      <c r="K368" s="200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92"/>
      <c r="B369" s="21"/>
      <c r="C369" s="21"/>
      <c r="D369" s="142"/>
      <c r="E369" s="109"/>
      <c r="F369" s="22"/>
      <c r="G369" s="240"/>
      <c r="H369" s="180"/>
      <c r="I369" s="21"/>
      <c r="J369" s="21"/>
      <c r="K369" s="200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92"/>
      <c r="B370" s="21"/>
      <c r="C370" s="21"/>
      <c r="D370" s="142"/>
      <c r="E370" s="109"/>
      <c r="F370" s="22"/>
      <c r="G370" s="240"/>
      <c r="H370" s="180"/>
      <c r="I370" s="21"/>
      <c r="J370" s="21"/>
      <c r="K370" s="200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92"/>
      <c r="B371" s="21"/>
      <c r="C371" s="21"/>
      <c r="D371" s="142"/>
      <c r="E371" s="109"/>
      <c r="F371" s="22"/>
      <c r="G371" s="240"/>
      <c r="H371" s="180"/>
      <c r="I371" s="21"/>
      <c r="J371" s="21"/>
      <c r="K371" s="200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92"/>
      <c r="B372" s="21"/>
      <c r="C372" s="21"/>
      <c r="D372" s="142"/>
      <c r="E372" s="109"/>
      <c r="F372" s="22"/>
      <c r="G372" s="240"/>
      <c r="H372" s="180"/>
      <c r="I372" s="21"/>
      <c r="J372" s="21"/>
      <c r="K372" s="200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92"/>
      <c r="B373" s="21"/>
      <c r="C373" s="21"/>
      <c r="D373" s="142"/>
      <c r="E373" s="109"/>
      <c r="F373" s="22"/>
      <c r="G373" s="240"/>
      <c r="H373" s="180"/>
      <c r="I373" s="21"/>
      <c r="J373" s="21"/>
      <c r="K373" s="200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92"/>
      <c r="B374" s="21"/>
      <c r="C374" s="21"/>
      <c r="D374" s="142"/>
      <c r="E374" s="109"/>
      <c r="F374" s="22"/>
      <c r="G374" s="240"/>
      <c r="H374" s="180"/>
      <c r="I374" s="21"/>
      <c r="J374" s="21"/>
      <c r="K374" s="200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92"/>
      <c r="B375" s="21"/>
      <c r="C375" s="21"/>
      <c r="D375" s="142"/>
      <c r="E375" s="109"/>
      <c r="F375" s="22"/>
      <c r="G375" s="240"/>
      <c r="H375" s="180"/>
      <c r="I375" s="21"/>
      <c r="J375" s="21"/>
      <c r="K375" s="200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92"/>
      <c r="B376" s="21"/>
      <c r="C376" s="21"/>
      <c r="D376" s="142"/>
      <c r="E376" s="109"/>
      <c r="F376" s="22"/>
      <c r="G376" s="240"/>
      <c r="H376" s="180"/>
      <c r="I376" s="21"/>
      <c r="J376" s="21"/>
      <c r="K376" s="200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92"/>
      <c r="B377" s="21"/>
      <c r="C377" s="21"/>
      <c r="D377" s="142"/>
      <c r="E377" s="109"/>
      <c r="F377" s="22"/>
      <c r="G377" s="240"/>
      <c r="H377" s="180"/>
      <c r="I377" s="21"/>
      <c r="J377" s="21"/>
      <c r="K377" s="200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92"/>
      <c r="B378" s="21"/>
      <c r="C378" s="21"/>
      <c r="D378" s="142"/>
      <c r="E378" s="109"/>
      <c r="F378" s="22"/>
      <c r="G378" s="240"/>
      <c r="H378" s="180"/>
      <c r="I378" s="21"/>
      <c r="J378" s="21"/>
      <c r="K378" s="200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92"/>
      <c r="B379" s="21"/>
      <c r="C379" s="21"/>
      <c r="D379" s="142"/>
      <c r="E379" s="109"/>
      <c r="F379" s="22"/>
      <c r="G379" s="240"/>
      <c r="H379" s="180"/>
      <c r="I379" s="21"/>
      <c r="J379" s="21"/>
      <c r="K379" s="200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92"/>
      <c r="B380" s="21"/>
      <c r="C380" s="21"/>
      <c r="D380" s="142"/>
      <c r="E380" s="109"/>
      <c r="F380" s="22"/>
      <c r="G380" s="240"/>
      <c r="H380" s="180"/>
      <c r="I380" s="21"/>
      <c r="J380" s="21"/>
      <c r="K380" s="200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92"/>
      <c r="B381" s="21"/>
      <c r="C381" s="21"/>
      <c r="D381" s="142"/>
      <c r="E381" s="109"/>
      <c r="F381" s="22"/>
      <c r="G381" s="240"/>
      <c r="H381" s="180"/>
      <c r="I381" s="21"/>
      <c r="J381" s="21"/>
      <c r="K381" s="200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92"/>
      <c r="B382" s="21"/>
      <c r="C382" s="21"/>
      <c r="D382" s="142"/>
      <c r="E382" s="109"/>
      <c r="F382" s="22"/>
      <c r="G382" s="240"/>
      <c r="H382" s="180"/>
      <c r="I382" s="21"/>
      <c r="J382" s="21"/>
      <c r="K382" s="200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92"/>
      <c r="B383" s="21"/>
      <c r="C383" s="21"/>
      <c r="D383" s="142"/>
      <c r="E383" s="109"/>
      <c r="F383" s="22"/>
      <c r="G383" s="240"/>
      <c r="H383" s="180"/>
      <c r="I383" s="21"/>
      <c r="J383" s="21"/>
      <c r="K383" s="200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92"/>
      <c r="B384" s="21"/>
      <c r="C384" s="21"/>
      <c r="D384" s="142"/>
      <c r="E384" s="109"/>
      <c r="F384" s="22"/>
      <c r="G384" s="240"/>
      <c r="H384" s="180"/>
      <c r="I384" s="21"/>
      <c r="J384" s="21"/>
      <c r="K384" s="200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92"/>
      <c r="B385" s="21"/>
      <c r="C385" s="21"/>
      <c r="D385" s="142"/>
      <c r="E385" s="109"/>
      <c r="F385" s="22"/>
      <c r="G385" s="240"/>
      <c r="H385" s="180"/>
      <c r="I385" s="21"/>
      <c r="J385" s="21"/>
      <c r="K385" s="200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92"/>
      <c r="B386" s="21"/>
      <c r="C386" s="21"/>
      <c r="D386" s="142"/>
      <c r="E386" s="109"/>
      <c r="F386" s="22"/>
      <c r="G386" s="240"/>
      <c r="H386" s="180"/>
      <c r="I386" s="21"/>
      <c r="J386" s="21"/>
      <c r="K386" s="200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92"/>
      <c r="B387" s="21"/>
      <c r="C387" s="21"/>
      <c r="D387" s="142"/>
      <c r="E387" s="109"/>
      <c r="F387" s="22"/>
      <c r="G387" s="240"/>
      <c r="H387" s="180"/>
      <c r="I387" s="21"/>
      <c r="J387" s="21"/>
      <c r="K387" s="200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92"/>
      <c r="B388" s="21"/>
      <c r="C388" s="21"/>
      <c r="D388" s="142"/>
      <c r="E388" s="109"/>
      <c r="F388" s="22"/>
      <c r="G388" s="240"/>
      <c r="H388" s="180"/>
      <c r="I388" s="21"/>
      <c r="J388" s="21"/>
      <c r="K388" s="200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92"/>
      <c r="B389" s="21"/>
      <c r="C389" s="21"/>
      <c r="D389" s="142"/>
      <c r="E389" s="109"/>
      <c r="F389" s="22"/>
      <c r="G389" s="240"/>
      <c r="H389" s="180"/>
      <c r="I389" s="21"/>
      <c r="J389" s="21"/>
      <c r="K389" s="200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92"/>
      <c r="B390" s="21"/>
      <c r="C390" s="21"/>
      <c r="D390" s="142"/>
      <c r="E390" s="109"/>
      <c r="F390" s="22"/>
      <c r="G390" s="240"/>
      <c r="H390" s="180"/>
      <c r="I390" s="21"/>
      <c r="J390" s="21"/>
      <c r="K390" s="200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92"/>
      <c r="B391" s="21"/>
      <c r="C391" s="21"/>
      <c r="D391" s="142"/>
      <c r="E391" s="109"/>
      <c r="F391" s="22"/>
      <c r="G391" s="240"/>
      <c r="H391" s="180"/>
      <c r="I391" s="21"/>
      <c r="J391" s="21"/>
      <c r="K391" s="200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92"/>
      <c r="B392" s="21"/>
      <c r="C392" s="21"/>
      <c r="D392" s="142"/>
      <c r="E392" s="109"/>
      <c r="F392" s="22"/>
      <c r="G392" s="240"/>
      <c r="H392" s="180"/>
      <c r="I392" s="21"/>
      <c r="J392" s="21"/>
      <c r="K392" s="200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92"/>
      <c r="B393" s="21"/>
      <c r="C393" s="21"/>
      <c r="D393" s="142"/>
      <c r="E393" s="109"/>
      <c r="F393" s="22"/>
      <c r="G393" s="240"/>
      <c r="H393" s="180"/>
      <c r="I393" s="21"/>
      <c r="J393" s="21"/>
      <c r="K393" s="200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92"/>
      <c r="B394" s="21"/>
      <c r="C394" s="21"/>
      <c r="D394" s="142"/>
      <c r="E394" s="109"/>
      <c r="F394" s="22"/>
      <c r="G394" s="240"/>
      <c r="H394" s="180"/>
      <c r="I394" s="21"/>
      <c r="J394" s="21"/>
      <c r="K394" s="200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92"/>
      <c r="B395" s="21"/>
      <c r="C395" s="21"/>
      <c r="D395" s="142"/>
      <c r="E395" s="109"/>
      <c r="F395" s="22"/>
      <c r="G395" s="240"/>
      <c r="H395" s="180"/>
      <c r="I395" s="21"/>
      <c r="J395" s="21"/>
      <c r="K395" s="200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92"/>
      <c r="B396" s="21"/>
      <c r="C396" s="21"/>
      <c r="D396" s="142"/>
      <c r="E396" s="109"/>
      <c r="F396" s="22"/>
      <c r="G396" s="240"/>
      <c r="H396" s="180"/>
      <c r="I396" s="21"/>
      <c r="J396" s="21"/>
      <c r="K396" s="200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92"/>
      <c r="B397" s="21"/>
      <c r="C397" s="21"/>
      <c r="D397" s="142"/>
      <c r="E397" s="109"/>
      <c r="F397" s="22"/>
      <c r="G397" s="240"/>
      <c r="H397" s="180"/>
      <c r="I397" s="21"/>
      <c r="J397" s="21"/>
      <c r="K397" s="200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92"/>
      <c r="B398" s="21"/>
      <c r="C398" s="21"/>
      <c r="D398" s="142"/>
      <c r="E398" s="109"/>
      <c r="F398" s="22"/>
      <c r="G398" s="240"/>
      <c r="H398" s="180"/>
      <c r="I398" s="21"/>
      <c r="J398" s="21"/>
      <c r="K398" s="200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92"/>
      <c r="B399" s="21"/>
      <c r="C399" s="21"/>
      <c r="D399" s="142"/>
      <c r="E399" s="109"/>
      <c r="F399" s="22"/>
      <c r="G399" s="240"/>
      <c r="H399" s="180"/>
      <c r="I399" s="21"/>
      <c r="J399" s="21"/>
      <c r="K399" s="200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92"/>
      <c r="B400" s="21"/>
      <c r="C400" s="21"/>
      <c r="D400" s="142"/>
      <c r="E400" s="109"/>
      <c r="F400" s="22"/>
      <c r="G400" s="240"/>
      <c r="H400" s="180"/>
      <c r="I400" s="21"/>
      <c r="J400" s="21"/>
      <c r="K400" s="200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92"/>
      <c r="B401" s="21"/>
      <c r="C401" s="21"/>
      <c r="D401" s="142"/>
      <c r="E401" s="109"/>
      <c r="F401" s="22"/>
      <c r="G401" s="240"/>
      <c r="H401" s="180"/>
      <c r="I401" s="21"/>
      <c r="J401" s="21"/>
      <c r="K401" s="200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92"/>
      <c r="B402" s="21"/>
      <c r="C402" s="21"/>
      <c r="D402" s="142"/>
      <c r="E402" s="109"/>
      <c r="F402" s="22"/>
      <c r="G402" s="240"/>
      <c r="H402" s="180"/>
      <c r="I402" s="21"/>
      <c r="J402" s="21"/>
      <c r="K402" s="200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92"/>
      <c r="B403" s="21"/>
      <c r="C403" s="21"/>
      <c r="D403" s="142"/>
      <c r="E403" s="109"/>
      <c r="F403" s="22"/>
      <c r="G403" s="240"/>
      <c r="H403" s="180"/>
      <c r="I403" s="21"/>
      <c r="J403" s="21"/>
      <c r="K403" s="200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92"/>
      <c r="B404" s="21"/>
      <c r="C404" s="21"/>
      <c r="D404" s="142"/>
      <c r="E404" s="109"/>
      <c r="F404" s="22"/>
      <c r="G404" s="240"/>
      <c r="H404" s="180"/>
      <c r="I404" s="21"/>
      <c r="J404" s="21"/>
      <c r="K404" s="200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92"/>
      <c r="B405" s="21"/>
      <c r="C405" s="21"/>
      <c r="D405" s="142"/>
      <c r="E405" s="109"/>
      <c r="F405" s="22"/>
      <c r="G405" s="240"/>
      <c r="H405" s="180"/>
      <c r="I405" s="21"/>
      <c r="J405" s="21"/>
      <c r="K405" s="200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92"/>
      <c r="B406" s="21"/>
      <c r="C406" s="21"/>
      <c r="D406" s="142"/>
      <c r="E406" s="109"/>
      <c r="F406" s="22"/>
      <c r="G406" s="240"/>
      <c r="H406" s="180"/>
      <c r="I406" s="21"/>
      <c r="J406" s="21"/>
      <c r="K406" s="200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92"/>
      <c r="B407" s="21"/>
      <c r="C407" s="21"/>
      <c r="D407" s="142"/>
      <c r="E407" s="109"/>
      <c r="F407" s="22"/>
      <c r="G407" s="240"/>
      <c r="H407" s="180"/>
      <c r="I407" s="21"/>
      <c r="J407" s="21"/>
      <c r="K407" s="200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92"/>
      <c r="B408" s="21"/>
      <c r="C408" s="21"/>
      <c r="D408" s="142"/>
      <c r="E408" s="109"/>
      <c r="F408" s="22"/>
      <c r="G408" s="240"/>
      <c r="H408" s="180"/>
      <c r="I408" s="21"/>
      <c r="J408" s="21"/>
      <c r="K408" s="200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92"/>
      <c r="B409" s="21"/>
      <c r="C409" s="21"/>
      <c r="D409" s="142"/>
      <c r="E409" s="109"/>
      <c r="F409" s="22"/>
      <c r="G409" s="240"/>
      <c r="H409" s="180"/>
      <c r="I409" s="21"/>
      <c r="J409" s="21"/>
      <c r="K409" s="200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92"/>
      <c r="B410" s="21"/>
      <c r="C410" s="21"/>
      <c r="D410" s="142"/>
      <c r="E410" s="109"/>
      <c r="F410" s="22"/>
      <c r="G410" s="240"/>
      <c r="H410" s="180"/>
      <c r="I410" s="21"/>
      <c r="J410" s="21"/>
      <c r="K410" s="200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92"/>
      <c r="B411" s="21"/>
      <c r="C411" s="21"/>
      <c r="D411" s="142"/>
      <c r="E411" s="109"/>
      <c r="F411" s="22"/>
      <c r="G411" s="240"/>
      <c r="H411" s="180"/>
      <c r="I411" s="21"/>
      <c r="J411" s="21"/>
      <c r="K411" s="200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92"/>
      <c r="B412" s="21"/>
      <c r="C412" s="21"/>
      <c r="D412" s="142"/>
      <c r="E412" s="109"/>
      <c r="F412" s="22"/>
      <c r="G412" s="240"/>
      <c r="H412" s="180"/>
      <c r="I412" s="21"/>
      <c r="J412" s="21"/>
      <c r="K412" s="200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92"/>
      <c r="B413" s="21"/>
      <c r="C413" s="21"/>
      <c r="D413" s="142"/>
      <c r="E413" s="109"/>
      <c r="F413" s="22"/>
      <c r="G413" s="240"/>
      <c r="H413" s="180"/>
      <c r="I413" s="21"/>
      <c r="J413" s="21"/>
      <c r="K413" s="200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92"/>
      <c r="B414" s="21"/>
      <c r="C414" s="21"/>
      <c r="D414" s="142"/>
      <c r="E414" s="109"/>
      <c r="F414" s="22"/>
      <c r="G414" s="240"/>
      <c r="H414" s="180"/>
      <c r="I414" s="21"/>
      <c r="J414" s="21"/>
      <c r="K414" s="200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92"/>
      <c r="B415" s="21"/>
      <c r="C415" s="21"/>
      <c r="D415" s="142"/>
      <c r="E415" s="109"/>
      <c r="F415" s="22"/>
      <c r="G415" s="240"/>
      <c r="H415" s="180"/>
      <c r="I415" s="21"/>
      <c r="J415" s="21"/>
      <c r="K415" s="200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92"/>
      <c r="B416" s="21"/>
      <c r="C416" s="21"/>
      <c r="D416" s="142"/>
      <c r="E416" s="109"/>
      <c r="F416" s="22"/>
      <c r="G416" s="240"/>
      <c r="H416" s="180"/>
      <c r="I416" s="21"/>
      <c r="J416" s="21"/>
      <c r="K416" s="200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92"/>
      <c r="B417" s="21"/>
      <c r="C417" s="21"/>
      <c r="D417" s="142"/>
      <c r="E417" s="109"/>
      <c r="F417" s="22"/>
      <c r="G417" s="240"/>
      <c r="H417" s="180"/>
      <c r="I417" s="21"/>
      <c r="J417" s="21"/>
      <c r="K417" s="200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92"/>
      <c r="B418" s="21"/>
      <c r="C418" s="21"/>
      <c r="D418" s="142"/>
      <c r="E418" s="109"/>
      <c r="F418" s="22"/>
      <c r="G418" s="240"/>
      <c r="H418" s="180"/>
      <c r="I418" s="21"/>
      <c r="J418" s="21"/>
      <c r="K418" s="200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92"/>
      <c r="B419" s="21"/>
      <c r="C419" s="21"/>
      <c r="D419" s="142"/>
      <c r="E419" s="109"/>
      <c r="F419" s="22"/>
      <c r="G419" s="240"/>
      <c r="H419" s="180"/>
      <c r="I419" s="21"/>
      <c r="J419" s="21"/>
      <c r="K419" s="200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92"/>
      <c r="B420" s="21"/>
      <c r="C420" s="21"/>
      <c r="D420" s="142"/>
      <c r="E420" s="109"/>
      <c r="F420" s="22"/>
      <c r="G420" s="240"/>
      <c r="H420" s="180"/>
      <c r="I420" s="21"/>
      <c r="J420" s="21"/>
      <c r="K420" s="200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92"/>
      <c r="B421" s="21"/>
      <c r="C421" s="21"/>
      <c r="D421" s="142"/>
      <c r="E421" s="109"/>
      <c r="F421" s="22"/>
      <c r="G421" s="240"/>
      <c r="H421" s="180"/>
      <c r="I421" s="21"/>
      <c r="J421" s="21"/>
      <c r="K421" s="200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92"/>
      <c r="B422" s="21"/>
      <c r="C422" s="21"/>
      <c r="D422" s="142"/>
      <c r="E422" s="109"/>
      <c r="F422" s="22"/>
      <c r="G422" s="240"/>
      <c r="H422" s="180"/>
      <c r="I422" s="21"/>
      <c r="J422" s="21"/>
      <c r="K422" s="200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92"/>
      <c r="B423" s="21"/>
      <c r="C423" s="21"/>
      <c r="D423" s="142"/>
      <c r="E423" s="109"/>
      <c r="F423" s="22"/>
      <c r="G423" s="240"/>
      <c r="H423" s="180"/>
      <c r="I423" s="21"/>
      <c r="J423" s="21"/>
      <c r="K423" s="200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92"/>
      <c r="B424" s="21"/>
      <c r="C424" s="21"/>
      <c r="D424" s="142"/>
      <c r="E424" s="109"/>
      <c r="F424" s="22"/>
      <c r="G424" s="240"/>
      <c r="H424" s="180"/>
      <c r="I424" s="21"/>
      <c r="J424" s="21"/>
      <c r="K424" s="200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92"/>
      <c r="B425" s="21"/>
      <c r="C425" s="21"/>
      <c r="D425" s="142"/>
      <c r="E425" s="109"/>
      <c r="F425" s="22"/>
      <c r="G425" s="240"/>
      <c r="H425" s="180"/>
      <c r="I425" s="21"/>
      <c r="J425" s="21"/>
      <c r="K425" s="200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92"/>
      <c r="B426" s="21"/>
      <c r="C426" s="21"/>
      <c r="D426" s="142"/>
      <c r="E426" s="109"/>
      <c r="F426" s="22"/>
      <c r="G426" s="240"/>
      <c r="H426" s="180"/>
      <c r="I426" s="21"/>
      <c r="J426" s="21"/>
      <c r="K426" s="200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92"/>
      <c r="B427" s="21"/>
      <c r="C427" s="21"/>
      <c r="D427" s="142"/>
      <c r="E427" s="109"/>
      <c r="F427" s="22"/>
      <c r="G427" s="240"/>
      <c r="H427" s="180"/>
      <c r="I427" s="21"/>
      <c r="J427" s="21"/>
      <c r="K427" s="200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92"/>
      <c r="B428" s="21"/>
      <c r="C428" s="21"/>
      <c r="D428" s="142"/>
      <c r="E428" s="109"/>
      <c r="F428" s="22"/>
      <c r="G428" s="240"/>
      <c r="H428" s="180"/>
      <c r="I428" s="21"/>
      <c r="J428" s="21"/>
      <c r="K428" s="200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92"/>
      <c r="B429" s="21"/>
      <c r="C429" s="21"/>
      <c r="D429" s="142"/>
      <c r="E429" s="109"/>
      <c r="F429" s="22"/>
      <c r="G429" s="240"/>
      <c r="H429" s="180"/>
      <c r="I429" s="21"/>
      <c r="J429" s="21"/>
      <c r="K429" s="200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92"/>
      <c r="B430" s="21"/>
      <c r="C430" s="21"/>
      <c r="D430" s="142"/>
      <c r="E430" s="109"/>
      <c r="F430" s="22"/>
      <c r="G430" s="240"/>
      <c r="H430" s="180"/>
      <c r="I430" s="21"/>
      <c r="J430" s="21"/>
      <c r="K430" s="200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92"/>
      <c r="B431" s="21"/>
      <c r="C431" s="21"/>
      <c r="D431" s="142"/>
      <c r="E431" s="109"/>
      <c r="F431" s="22"/>
      <c r="G431" s="240"/>
      <c r="H431" s="180"/>
      <c r="I431" s="21"/>
      <c r="J431" s="21"/>
      <c r="K431" s="200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92"/>
      <c r="B432" s="21"/>
      <c r="C432" s="21"/>
      <c r="D432" s="142"/>
      <c r="E432" s="109"/>
      <c r="F432" s="22"/>
      <c r="G432" s="240"/>
      <c r="H432" s="180"/>
      <c r="I432" s="21"/>
      <c r="J432" s="21"/>
      <c r="K432" s="200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92"/>
      <c r="B433" s="21"/>
      <c r="C433" s="21"/>
      <c r="D433" s="142"/>
      <c r="E433" s="109"/>
      <c r="F433" s="22"/>
      <c r="G433" s="240"/>
      <c r="H433" s="180"/>
      <c r="I433" s="21"/>
      <c r="J433" s="21"/>
      <c r="K433" s="200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92"/>
      <c r="B434" s="21"/>
      <c r="C434" s="21"/>
      <c r="D434" s="142"/>
      <c r="E434" s="109"/>
      <c r="F434" s="22"/>
      <c r="G434" s="240"/>
      <c r="H434" s="180"/>
      <c r="I434" s="21"/>
      <c r="J434" s="21"/>
      <c r="K434" s="200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92"/>
      <c r="B435" s="21"/>
      <c r="C435" s="21"/>
      <c r="D435" s="142"/>
      <c r="E435" s="109"/>
      <c r="F435" s="22"/>
      <c r="G435" s="240"/>
      <c r="H435" s="180"/>
      <c r="I435" s="21"/>
      <c r="J435" s="21"/>
      <c r="K435" s="200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92"/>
      <c r="B436" s="21"/>
      <c r="C436" s="21"/>
      <c r="D436" s="142"/>
      <c r="E436" s="109"/>
      <c r="F436" s="22"/>
      <c r="G436" s="240"/>
      <c r="H436" s="180"/>
      <c r="I436" s="21"/>
      <c r="J436" s="21"/>
      <c r="K436" s="200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92"/>
      <c r="B437" s="21"/>
      <c r="C437" s="21"/>
      <c r="D437" s="142"/>
      <c r="E437" s="109"/>
      <c r="F437" s="22"/>
      <c r="G437" s="240"/>
      <c r="H437" s="180"/>
      <c r="I437" s="21"/>
      <c r="J437" s="21"/>
      <c r="K437" s="200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92"/>
      <c r="B438" s="21"/>
      <c r="C438" s="21"/>
      <c r="D438" s="142"/>
      <c r="E438" s="109"/>
      <c r="F438" s="22"/>
      <c r="G438" s="240"/>
      <c r="H438" s="180"/>
      <c r="I438" s="21"/>
      <c r="J438" s="21"/>
      <c r="K438" s="200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92"/>
      <c r="B439" s="21"/>
      <c r="C439" s="21"/>
      <c r="D439" s="142"/>
      <c r="E439" s="109"/>
      <c r="F439" s="22"/>
      <c r="G439" s="240"/>
      <c r="H439" s="180"/>
      <c r="I439" s="21"/>
      <c r="J439" s="21"/>
      <c r="K439" s="200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92"/>
      <c r="B440" s="21"/>
      <c r="C440" s="21"/>
      <c r="D440" s="142"/>
      <c r="E440" s="109"/>
      <c r="F440" s="22"/>
      <c r="G440" s="240"/>
      <c r="H440" s="180"/>
      <c r="I440" s="21"/>
      <c r="J440" s="21"/>
      <c r="K440" s="200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92"/>
      <c r="B441" s="21"/>
      <c r="C441" s="21"/>
      <c r="D441" s="142"/>
      <c r="E441" s="109"/>
      <c r="F441" s="22"/>
      <c r="G441" s="240"/>
      <c r="H441" s="180"/>
      <c r="I441" s="21"/>
      <c r="J441" s="21"/>
      <c r="K441" s="200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92"/>
      <c r="B442" s="21"/>
      <c r="C442" s="21"/>
      <c r="D442" s="142"/>
      <c r="E442" s="109"/>
      <c r="F442" s="22"/>
      <c r="G442" s="240"/>
      <c r="H442" s="180"/>
      <c r="I442" s="21"/>
      <c r="J442" s="21"/>
      <c r="K442" s="200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92"/>
      <c r="B443" s="21"/>
      <c r="C443" s="21"/>
      <c r="D443" s="142"/>
      <c r="E443" s="109"/>
      <c r="F443" s="22"/>
      <c r="G443" s="240"/>
      <c r="H443" s="180"/>
      <c r="I443" s="21"/>
      <c r="J443" s="21"/>
      <c r="K443" s="200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92"/>
      <c r="B444" s="21"/>
      <c r="C444" s="21"/>
      <c r="D444" s="142"/>
      <c r="E444" s="109"/>
      <c r="F444" s="22"/>
      <c r="G444" s="240"/>
      <c r="H444" s="180"/>
      <c r="I444" s="21"/>
      <c r="J444" s="21"/>
      <c r="K444" s="200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92"/>
      <c r="B445" s="21"/>
      <c r="C445" s="21"/>
      <c r="D445" s="142"/>
      <c r="E445" s="109"/>
      <c r="F445" s="22"/>
      <c r="G445" s="240"/>
      <c r="H445" s="180"/>
      <c r="I445" s="21"/>
      <c r="J445" s="21"/>
      <c r="K445" s="200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92"/>
      <c r="B446" s="21"/>
      <c r="C446" s="21"/>
      <c r="D446" s="142"/>
      <c r="E446" s="109"/>
      <c r="F446" s="22"/>
      <c r="G446" s="240"/>
      <c r="H446" s="180"/>
      <c r="I446" s="21"/>
      <c r="J446" s="21"/>
      <c r="K446" s="200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92"/>
      <c r="B447" s="21"/>
      <c r="C447" s="21"/>
      <c r="D447" s="142"/>
      <c r="E447" s="109"/>
      <c r="F447" s="22"/>
      <c r="G447" s="240"/>
      <c r="H447" s="180"/>
      <c r="I447" s="21"/>
      <c r="J447" s="21"/>
      <c r="K447" s="200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92"/>
      <c r="B448" s="21"/>
      <c r="C448" s="21"/>
      <c r="D448" s="142"/>
      <c r="E448" s="109"/>
      <c r="F448" s="22"/>
      <c r="G448" s="240"/>
      <c r="H448" s="180"/>
      <c r="I448" s="21"/>
      <c r="J448" s="21"/>
      <c r="K448" s="200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92"/>
      <c r="B449" s="21"/>
      <c r="C449" s="21"/>
      <c r="D449" s="142"/>
      <c r="E449" s="109"/>
      <c r="F449" s="22"/>
      <c r="G449" s="240"/>
      <c r="H449" s="180"/>
      <c r="I449" s="21"/>
      <c r="J449" s="21"/>
      <c r="K449" s="200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92"/>
      <c r="B450" s="21"/>
      <c r="C450" s="21"/>
      <c r="D450" s="142"/>
      <c r="E450" s="109"/>
      <c r="F450" s="22"/>
      <c r="G450" s="240"/>
      <c r="H450" s="180"/>
      <c r="I450" s="21"/>
      <c r="J450" s="21"/>
      <c r="K450" s="200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92"/>
      <c r="B451" s="21"/>
      <c r="C451" s="21"/>
      <c r="D451" s="142"/>
      <c r="E451" s="109"/>
      <c r="F451" s="22"/>
      <c r="G451" s="240"/>
      <c r="H451" s="180"/>
      <c r="I451" s="21"/>
      <c r="J451" s="21"/>
      <c r="K451" s="200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92"/>
      <c r="B452" s="21"/>
      <c r="C452" s="21"/>
      <c r="D452" s="142"/>
      <c r="E452" s="109"/>
      <c r="F452" s="22"/>
      <c r="G452" s="240"/>
      <c r="H452" s="180"/>
      <c r="I452" s="21"/>
      <c r="J452" s="21"/>
      <c r="K452" s="200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92"/>
      <c r="B453" s="21"/>
      <c r="C453" s="21"/>
      <c r="D453" s="142"/>
      <c r="E453" s="109"/>
      <c r="F453" s="22"/>
      <c r="G453" s="240"/>
      <c r="H453" s="180"/>
      <c r="I453" s="21"/>
      <c r="J453" s="21"/>
      <c r="K453" s="200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92"/>
      <c r="B454" s="21"/>
      <c r="C454" s="21"/>
      <c r="D454" s="142"/>
      <c r="E454" s="109"/>
      <c r="F454" s="22"/>
      <c r="G454" s="240"/>
      <c r="H454" s="180"/>
      <c r="I454" s="21"/>
      <c r="J454" s="21"/>
      <c r="K454" s="200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92"/>
      <c r="B455" s="21"/>
      <c r="C455" s="21"/>
      <c r="D455" s="142"/>
      <c r="E455" s="109"/>
      <c r="F455" s="22"/>
      <c r="G455" s="240"/>
      <c r="H455" s="180"/>
      <c r="I455" s="21"/>
      <c r="J455" s="21"/>
      <c r="K455" s="200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92"/>
      <c r="B456" s="21"/>
      <c r="C456" s="21"/>
      <c r="D456" s="142"/>
      <c r="E456" s="109"/>
      <c r="F456" s="22"/>
      <c r="G456" s="240"/>
      <c r="H456" s="180"/>
      <c r="I456" s="21"/>
      <c r="J456" s="21"/>
      <c r="K456" s="200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92"/>
      <c r="B457" s="21"/>
      <c r="C457" s="21"/>
      <c r="D457" s="142"/>
      <c r="E457" s="109"/>
      <c r="F457" s="22"/>
      <c r="G457" s="240"/>
      <c r="H457" s="180"/>
      <c r="I457" s="21"/>
      <c r="J457" s="21"/>
      <c r="K457" s="200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92"/>
      <c r="B458" s="21"/>
      <c r="C458" s="21"/>
      <c r="D458" s="142"/>
      <c r="E458" s="109"/>
      <c r="F458" s="22"/>
      <c r="G458" s="240"/>
      <c r="H458" s="180"/>
      <c r="I458" s="21"/>
      <c r="J458" s="21"/>
      <c r="K458" s="200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92"/>
      <c r="B459" s="21"/>
      <c r="C459" s="21"/>
      <c r="D459" s="142"/>
      <c r="E459" s="109"/>
      <c r="F459" s="22"/>
      <c r="G459" s="240"/>
      <c r="H459" s="180"/>
      <c r="I459" s="21"/>
      <c r="J459" s="21"/>
      <c r="K459" s="200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92"/>
      <c r="B460" s="21"/>
      <c r="C460" s="21"/>
      <c r="D460" s="142"/>
      <c r="E460" s="109"/>
      <c r="F460" s="22"/>
      <c r="G460" s="240"/>
      <c r="H460" s="180"/>
      <c r="I460" s="21"/>
      <c r="J460" s="21"/>
      <c r="K460" s="200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92"/>
      <c r="B461" s="21"/>
      <c r="C461" s="21"/>
      <c r="D461" s="142"/>
      <c r="E461" s="109"/>
      <c r="F461" s="22"/>
      <c r="G461" s="240"/>
      <c r="H461" s="180"/>
      <c r="I461" s="21"/>
      <c r="J461" s="21"/>
      <c r="K461" s="200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92"/>
      <c r="B462" s="21"/>
      <c r="C462" s="21"/>
      <c r="D462" s="142"/>
      <c r="E462" s="109"/>
      <c r="F462" s="22"/>
      <c r="G462" s="240"/>
      <c r="H462" s="180"/>
      <c r="I462" s="21"/>
      <c r="J462" s="21"/>
      <c r="K462" s="200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92"/>
      <c r="B463" s="21"/>
      <c r="C463" s="21"/>
      <c r="D463" s="142"/>
      <c r="E463" s="109"/>
      <c r="F463" s="22"/>
      <c r="G463" s="240"/>
      <c r="H463" s="180"/>
      <c r="I463" s="21"/>
      <c r="J463" s="21"/>
      <c r="K463" s="200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92"/>
      <c r="B464" s="21"/>
      <c r="C464" s="21"/>
      <c r="D464" s="142"/>
      <c r="E464" s="109"/>
      <c r="F464" s="22"/>
      <c r="G464" s="240"/>
      <c r="H464" s="180"/>
      <c r="I464" s="21"/>
      <c r="J464" s="21"/>
      <c r="K464" s="200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92"/>
      <c r="B465" s="21"/>
      <c r="C465" s="21"/>
      <c r="D465" s="142"/>
      <c r="E465" s="109"/>
      <c r="F465" s="22"/>
      <c r="G465" s="240"/>
      <c r="H465" s="180"/>
      <c r="I465" s="21"/>
      <c r="J465" s="21"/>
      <c r="K465" s="200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92"/>
      <c r="B466" s="21"/>
      <c r="C466" s="21"/>
      <c r="D466" s="142"/>
      <c r="E466" s="109"/>
      <c r="F466" s="22"/>
      <c r="G466" s="240"/>
      <c r="H466" s="180"/>
      <c r="I466" s="21"/>
      <c r="J466" s="21"/>
      <c r="K466" s="200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92"/>
      <c r="B467" s="21"/>
      <c r="C467" s="21"/>
      <c r="D467" s="142"/>
      <c r="E467" s="109"/>
      <c r="F467" s="22"/>
      <c r="G467" s="240"/>
      <c r="H467" s="180"/>
      <c r="I467" s="21"/>
      <c r="J467" s="21"/>
      <c r="K467" s="200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92"/>
      <c r="B468" s="21"/>
      <c r="C468" s="21"/>
      <c r="D468" s="142"/>
      <c r="E468" s="109"/>
      <c r="F468" s="22"/>
      <c r="G468" s="240"/>
      <c r="H468" s="180"/>
      <c r="I468" s="21"/>
      <c r="J468" s="21"/>
      <c r="K468" s="200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92"/>
      <c r="B469" s="21"/>
      <c r="C469" s="21"/>
      <c r="D469" s="142"/>
      <c r="E469" s="109"/>
      <c r="F469" s="22"/>
      <c r="G469" s="240"/>
      <c r="H469" s="180"/>
      <c r="I469" s="21"/>
      <c r="J469" s="21"/>
      <c r="K469" s="200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92"/>
      <c r="B470" s="21"/>
      <c r="C470" s="21"/>
      <c r="D470" s="142"/>
      <c r="E470" s="109"/>
      <c r="F470" s="22"/>
      <c r="G470" s="240"/>
      <c r="H470" s="180"/>
      <c r="I470" s="21"/>
      <c r="J470" s="21"/>
      <c r="K470" s="200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92"/>
      <c r="B471" s="21"/>
      <c r="C471" s="21"/>
      <c r="D471" s="142"/>
      <c r="E471" s="109"/>
      <c r="F471" s="22"/>
      <c r="G471" s="240"/>
      <c r="H471" s="180"/>
      <c r="I471" s="21"/>
      <c r="J471" s="21"/>
      <c r="K471" s="200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92"/>
      <c r="B472" s="21"/>
      <c r="C472" s="21"/>
      <c r="D472" s="142"/>
      <c r="E472" s="109"/>
      <c r="F472" s="22"/>
      <c r="G472" s="240"/>
      <c r="H472" s="180"/>
      <c r="I472" s="21"/>
      <c r="J472" s="21"/>
      <c r="K472" s="200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92"/>
      <c r="B473" s="21"/>
      <c r="C473" s="21"/>
      <c r="D473" s="142"/>
      <c r="E473" s="109"/>
      <c r="F473" s="22"/>
      <c r="G473" s="240"/>
      <c r="H473" s="180"/>
      <c r="I473" s="21"/>
      <c r="J473" s="21"/>
      <c r="K473" s="200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92"/>
      <c r="B474" s="21"/>
      <c r="C474" s="21"/>
      <c r="D474" s="142"/>
      <c r="E474" s="109"/>
      <c r="F474" s="22"/>
      <c r="G474" s="240"/>
      <c r="H474" s="180"/>
      <c r="I474" s="21"/>
      <c r="J474" s="21"/>
      <c r="K474" s="200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92"/>
      <c r="B475" s="21"/>
      <c r="C475" s="21"/>
      <c r="D475" s="142"/>
      <c r="E475" s="109"/>
      <c r="F475" s="22"/>
      <c r="G475" s="240"/>
      <c r="H475" s="180"/>
      <c r="I475" s="21"/>
      <c r="J475" s="21"/>
      <c r="K475" s="200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92"/>
      <c r="B476" s="21"/>
      <c r="C476" s="21"/>
      <c r="D476" s="142"/>
      <c r="E476" s="109"/>
      <c r="F476" s="22"/>
      <c r="G476" s="240"/>
      <c r="H476" s="180"/>
      <c r="I476" s="21"/>
      <c r="J476" s="21"/>
      <c r="K476" s="200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92"/>
      <c r="B477" s="21"/>
      <c r="C477" s="21"/>
      <c r="D477" s="142"/>
      <c r="E477" s="109"/>
      <c r="F477" s="22"/>
      <c r="G477" s="240"/>
      <c r="H477" s="180"/>
      <c r="I477" s="21"/>
      <c r="J477" s="21"/>
      <c r="K477" s="200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92"/>
      <c r="B478" s="21"/>
      <c r="C478" s="21"/>
      <c r="D478" s="142"/>
      <c r="E478" s="109"/>
      <c r="F478" s="22"/>
      <c r="G478" s="240"/>
      <c r="H478" s="180"/>
      <c r="I478" s="21"/>
      <c r="J478" s="21"/>
      <c r="K478" s="200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92"/>
      <c r="B479" s="21"/>
      <c r="C479" s="21"/>
      <c r="D479" s="142"/>
      <c r="E479" s="109"/>
      <c r="F479" s="22"/>
      <c r="G479" s="240"/>
      <c r="H479" s="180"/>
      <c r="I479" s="21"/>
      <c r="J479" s="21"/>
      <c r="K479" s="200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92"/>
      <c r="B480" s="21"/>
      <c r="C480" s="21"/>
      <c r="D480" s="142"/>
      <c r="E480" s="109"/>
      <c r="F480" s="22"/>
      <c r="G480" s="240"/>
      <c r="H480" s="180"/>
      <c r="I480" s="21"/>
      <c r="J480" s="21"/>
      <c r="K480" s="200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92"/>
      <c r="B481" s="21"/>
      <c r="C481" s="21"/>
      <c r="D481" s="142"/>
      <c r="E481" s="109"/>
      <c r="F481" s="22"/>
      <c r="G481" s="240"/>
      <c r="H481" s="180"/>
      <c r="I481" s="21"/>
      <c r="J481" s="21"/>
      <c r="K481" s="200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92"/>
      <c r="B482" s="21"/>
      <c r="C482" s="21"/>
      <c r="D482" s="142"/>
      <c r="E482" s="109"/>
      <c r="F482" s="22"/>
      <c r="G482" s="240"/>
      <c r="H482" s="180"/>
      <c r="I482" s="21"/>
      <c r="J482" s="21"/>
      <c r="K482" s="200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92"/>
      <c r="B483" s="21"/>
      <c r="C483" s="21"/>
      <c r="D483" s="142"/>
      <c r="E483" s="109"/>
      <c r="F483" s="22"/>
      <c r="G483" s="240"/>
      <c r="H483" s="180"/>
      <c r="I483" s="21"/>
      <c r="J483" s="21"/>
      <c r="K483" s="200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92"/>
      <c r="B484" s="21"/>
      <c r="C484" s="21"/>
      <c r="D484" s="142"/>
      <c r="E484" s="109"/>
      <c r="F484" s="22"/>
      <c r="G484" s="240"/>
      <c r="H484" s="180"/>
      <c r="I484" s="21"/>
      <c r="J484" s="21"/>
      <c r="K484" s="200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92"/>
      <c r="B485" s="21"/>
      <c r="C485" s="21"/>
      <c r="D485" s="142"/>
      <c r="E485" s="109"/>
      <c r="F485" s="22"/>
      <c r="G485" s="240"/>
      <c r="H485" s="180"/>
      <c r="I485" s="21"/>
      <c r="J485" s="21"/>
      <c r="K485" s="200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92"/>
      <c r="B486" s="21"/>
      <c r="C486" s="21"/>
      <c r="D486" s="142"/>
      <c r="E486" s="109"/>
      <c r="F486" s="22"/>
      <c r="G486" s="240"/>
      <c r="H486" s="180"/>
      <c r="I486" s="21"/>
      <c r="J486" s="21"/>
      <c r="K486" s="200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92"/>
      <c r="B487" s="21"/>
      <c r="C487" s="21"/>
      <c r="D487" s="142"/>
      <c r="E487" s="109"/>
      <c r="F487" s="22"/>
      <c r="G487" s="240"/>
      <c r="H487" s="180"/>
      <c r="I487" s="21"/>
      <c r="J487" s="21"/>
      <c r="K487" s="200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92"/>
      <c r="B488" s="21"/>
      <c r="C488" s="21"/>
      <c r="D488" s="142"/>
      <c r="E488" s="109"/>
      <c r="F488" s="22"/>
      <c r="G488" s="240"/>
      <c r="H488" s="180"/>
      <c r="I488" s="21"/>
      <c r="J488" s="21"/>
      <c r="K488" s="200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92"/>
      <c r="B489" s="21"/>
      <c r="C489" s="21"/>
      <c r="D489" s="142"/>
      <c r="E489" s="109"/>
      <c r="F489" s="22"/>
      <c r="G489" s="240"/>
      <c r="H489" s="180"/>
      <c r="I489" s="21"/>
      <c r="J489" s="21"/>
      <c r="K489" s="200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92"/>
      <c r="B490" s="21"/>
      <c r="C490" s="21"/>
      <c r="D490" s="142"/>
      <c r="E490" s="109"/>
      <c r="F490" s="22"/>
      <c r="G490" s="240"/>
      <c r="H490" s="180"/>
      <c r="I490" s="21"/>
      <c r="J490" s="21"/>
      <c r="K490" s="200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92"/>
      <c r="B491" s="21"/>
      <c r="C491" s="21"/>
      <c r="D491" s="142"/>
      <c r="E491" s="109"/>
      <c r="F491" s="22"/>
      <c r="G491" s="240"/>
      <c r="H491" s="180"/>
      <c r="I491" s="21"/>
      <c r="J491" s="21"/>
      <c r="K491" s="200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92"/>
      <c r="B492" s="21"/>
      <c r="C492" s="21"/>
      <c r="D492" s="142"/>
      <c r="E492" s="109"/>
      <c r="F492" s="22"/>
      <c r="G492" s="240"/>
      <c r="H492" s="180"/>
      <c r="I492" s="21"/>
      <c r="J492" s="21"/>
      <c r="K492" s="200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92"/>
      <c r="B493" s="21"/>
      <c r="C493" s="21"/>
      <c r="D493" s="142"/>
      <c r="E493" s="109"/>
      <c r="F493" s="22"/>
      <c r="G493" s="240"/>
      <c r="H493" s="180"/>
      <c r="I493" s="21"/>
      <c r="J493" s="21"/>
      <c r="K493" s="200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92"/>
      <c r="B494" s="21"/>
      <c r="C494" s="21"/>
      <c r="D494" s="142"/>
      <c r="E494" s="109"/>
      <c r="F494" s="22"/>
      <c r="G494" s="240"/>
      <c r="H494" s="180"/>
      <c r="I494" s="21"/>
      <c r="J494" s="21"/>
      <c r="K494" s="200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92"/>
      <c r="B495" s="21"/>
      <c r="C495" s="21"/>
      <c r="D495" s="142"/>
      <c r="E495" s="109"/>
      <c r="F495" s="22"/>
      <c r="G495" s="240"/>
      <c r="H495" s="180"/>
      <c r="I495" s="21"/>
      <c r="J495" s="21"/>
      <c r="K495" s="200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92"/>
      <c r="B496" s="21"/>
      <c r="C496" s="21"/>
      <c r="D496" s="142"/>
      <c r="E496" s="109"/>
      <c r="F496" s="22"/>
      <c r="G496" s="240"/>
      <c r="H496" s="180"/>
      <c r="I496" s="21"/>
      <c r="J496" s="21"/>
      <c r="K496" s="200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92"/>
      <c r="B497" s="21"/>
      <c r="C497" s="21"/>
      <c r="D497" s="142"/>
      <c r="E497" s="109"/>
      <c r="F497" s="22"/>
      <c r="G497" s="240"/>
      <c r="H497" s="180"/>
      <c r="I497" s="21"/>
      <c r="J497" s="21"/>
      <c r="K497" s="200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92"/>
      <c r="B498" s="21"/>
      <c r="C498" s="21"/>
      <c r="D498" s="142"/>
      <c r="E498" s="109"/>
      <c r="F498" s="22"/>
      <c r="G498" s="240"/>
      <c r="H498" s="180"/>
      <c r="I498" s="21"/>
      <c r="J498" s="21"/>
      <c r="K498" s="200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92"/>
      <c r="B499" s="21"/>
      <c r="C499" s="21"/>
      <c r="D499" s="142"/>
      <c r="E499" s="109"/>
      <c r="F499" s="22"/>
      <c r="G499" s="240"/>
      <c r="H499" s="180"/>
      <c r="I499" s="21"/>
      <c r="J499" s="21"/>
      <c r="K499" s="200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92"/>
      <c r="B500" s="21"/>
      <c r="C500" s="21"/>
      <c r="D500" s="142"/>
      <c r="E500" s="109"/>
      <c r="F500" s="22"/>
      <c r="G500" s="240"/>
      <c r="H500" s="180"/>
      <c r="I500" s="21"/>
      <c r="J500" s="21"/>
      <c r="K500" s="200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92"/>
      <c r="B501" s="21"/>
      <c r="C501" s="21"/>
      <c r="D501" s="142"/>
      <c r="E501" s="109"/>
      <c r="F501" s="22"/>
      <c r="G501" s="240"/>
      <c r="H501" s="180"/>
      <c r="I501" s="21"/>
      <c r="J501" s="21"/>
      <c r="K501" s="200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92"/>
      <c r="B502" s="21"/>
      <c r="C502" s="21"/>
      <c r="D502" s="142"/>
      <c r="E502" s="109"/>
      <c r="F502" s="22"/>
      <c r="G502" s="240"/>
      <c r="H502" s="180"/>
      <c r="I502" s="21"/>
      <c r="J502" s="21"/>
      <c r="K502" s="200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92"/>
      <c r="B503" s="21"/>
      <c r="C503" s="21"/>
      <c r="D503" s="142"/>
      <c r="E503" s="109"/>
      <c r="F503" s="22"/>
      <c r="G503" s="240"/>
      <c r="H503" s="180"/>
      <c r="I503" s="21"/>
      <c r="J503" s="21"/>
      <c r="K503" s="200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92"/>
      <c r="B504" s="21"/>
      <c r="C504" s="21"/>
      <c r="D504" s="142"/>
      <c r="E504" s="109"/>
      <c r="F504" s="22"/>
      <c r="G504" s="240"/>
      <c r="H504" s="180"/>
      <c r="I504" s="21"/>
      <c r="J504" s="21"/>
      <c r="K504" s="200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92"/>
      <c r="B505" s="21"/>
      <c r="C505" s="21"/>
      <c r="D505" s="142"/>
      <c r="E505" s="109"/>
      <c r="F505" s="22"/>
      <c r="G505" s="240"/>
      <c r="H505" s="180"/>
      <c r="I505" s="21"/>
      <c r="J505" s="21"/>
      <c r="K505" s="200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92"/>
      <c r="B506" s="21"/>
      <c r="C506" s="21"/>
      <c r="D506" s="142"/>
      <c r="E506" s="109"/>
      <c r="F506" s="22"/>
      <c r="G506" s="240"/>
      <c r="H506" s="180"/>
      <c r="I506" s="21"/>
      <c r="J506" s="21"/>
      <c r="K506" s="200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92"/>
      <c r="B507" s="21"/>
      <c r="C507" s="21"/>
      <c r="D507" s="142"/>
      <c r="E507" s="109"/>
      <c r="F507" s="22"/>
      <c r="G507" s="240"/>
      <c r="H507" s="180"/>
      <c r="I507" s="21"/>
      <c r="J507" s="21"/>
      <c r="K507" s="200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92"/>
      <c r="B508" s="21"/>
      <c r="C508" s="21"/>
      <c r="D508" s="142"/>
      <c r="E508" s="109"/>
      <c r="F508" s="22"/>
      <c r="G508" s="240"/>
      <c r="H508" s="180"/>
      <c r="I508" s="21"/>
      <c r="J508" s="21"/>
      <c r="K508" s="200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92"/>
      <c r="B509" s="21"/>
      <c r="C509" s="21"/>
      <c r="D509" s="142"/>
      <c r="E509" s="109"/>
      <c r="F509" s="22"/>
      <c r="G509" s="240"/>
      <c r="H509" s="180"/>
      <c r="I509" s="21"/>
      <c r="J509" s="21"/>
      <c r="K509" s="200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92"/>
      <c r="B510" s="21"/>
      <c r="C510" s="21"/>
      <c r="D510" s="142"/>
      <c r="E510" s="109"/>
      <c r="F510" s="22"/>
      <c r="G510" s="240"/>
      <c r="H510" s="180"/>
      <c r="I510" s="21"/>
      <c r="J510" s="21"/>
      <c r="K510" s="200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92"/>
      <c r="B511" s="21"/>
      <c r="C511" s="21"/>
      <c r="D511" s="142"/>
      <c r="E511" s="109"/>
      <c r="F511" s="22"/>
      <c r="G511" s="240"/>
      <c r="H511" s="180"/>
      <c r="I511" s="21"/>
      <c r="J511" s="21"/>
      <c r="K511" s="200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92"/>
      <c r="B512" s="21"/>
      <c r="C512" s="21"/>
      <c r="D512" s="142"/>
      <c r="E512" s="109"/>
      <c r="F512" s="22"/>
      <c r="G512" s="240"/>
      <c r="H512" s="180"/>
      <c r="I512" s="21"/>
      <c r="J512" s="21"/>
      <c r="K512" s="200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92"/>
      <c r="B513" s="21"/>
      <c r="C513" s="21"/>
      <c r="D513" s="142"/>
      <c r="E513" s="109"/>
      <c r="F513" s="22"/>
      <c r="G513" s="240"/>
      <c r="H513" s="180"/>
      <c r="I513" s="21"/>
      <c r="J513" s="21"/>
      <c r="K513" s="200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92"/>
      <c r="B514" s="21"/>
      <c r="C514" s="21"/>
      <c r="D514" s="142"/>
      <c r="E514" s="109"/>
      <c r="F514" s="22"/>
      <c r="G514" s="240"/>
      <c r="H514" s="180"/>
      <c r="I514" s="21"/>
      <c r="J514" s="21"/>
      <c r="K514" s="200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92"/>
      <c r="B515" s="21"/>
      <c r="C515" s="21"/>
      <c r="D515" s="142"/>
      <c r="E515" s="109"/>
      <c r="F515" s="22"/>
      <c r="G515" s="240"/>
      <c r="H515" s="180"/>
      <c r="I515" s="21"/>
      <c r="J515" s="21"/>
      <c r="K515" s="200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92"/>
      <c r="B516" s="21"/>
      <c r="C516" s="21"/>
      <c r="D516" s="142"/>
      <c r="E516" s="109"/>
      <c r="F516" s="22"/>
      <c r="G516" s="240"/>
      <c r="H516" s="180"/>
      <c r="I516" s="21"/>
      <c r="J516" s="21"/>
      <c r="K516" s="200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92"/>
      <c r="B517" s="21"/>
      <c r="C517" s="21"/>
      <c r="D517" s="142"/>
      <c r="E517" s="109"/>
      <c r="F517" s="22"/>
      <c r="G517" s="240"/>
      <c r="H517" s="180"/>
      <c r="I517" s="21"/>
      <c r="J517" s="21"/>
      <c r="K517" s="200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92"/>
      <c r="B518" s="21"/>
      <c r="C518" s="21"/>
      <c r="D518" s="142"/>
      <c r="E518" s="109"/>
      <c r="F518" s="22"/>
      <c r="G518" s="240"/>
      <c r="H518" s="180"/>
      <c r="I518" s="21"/>
      <c r="J518" s="21"/>
      <c r="K518" s="200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92"/>
      <c r="B519" s="21"/>
      <c r="C519" s="21"/>
      <c r="D519" s="142"/>
      <c r="E519" s="109"/>
      <c r="F519" s="22"/>
      <c r="G519" s="240"/>
      <c r="H519" s="180"/>
      <c r="I519" s="21"/>
      <c r="J519" s="21"/>
      <c r="K519" s="200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92"/>
      <c r="B520" s="21"/>
      <c r="C520" s="21"/>
      <c r="D520" s="142"/>
      <c r="E520" s="109"/>
      <c r="F520" s="22"/>
      <c r="G520" s="240"/>
      <c r="H520" s="180"/>
      <c r="I520" s="21"/>
      <c r="J520" s="21"/>
      <c r="K520" s="200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92"/>
      <c r="B521" s="21"/>
      <c r="C521" s="21"/>
      <c r="D521" s="142"/>
      <c r="E521" s="109"/>
      <c r="F521" s="22"/>
      <c r="G521" s="240"/>
      <c r="H521" s="180"/>
      <c r="I521" s="21"/>
      <c r="J521" s="21"/>
      <c r="K521" s="200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92"/>
      <c r="B522" s="21"/>
      <c r="C522" s="21"/>
      <c r="D522" s="142"/>
      <c r="E522" s="109"/>
      <c r="F522" s="22"/>
      <c r="G522" s="240"/>
      <c r="H522" s="180"/>
      <c r="I522" s="21"/>
      <c r="J522" s="21"/>
      <c r="K522" s="200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92"/>
      <c r="B523" s="21"/>
      <c r="C523" s="21"/>
      <c r="D523" s="142"/>
      <c r="E523" s="109"/>
      <c r="F523" s="22"/>
      <c r="G523" s="240"/>
      <c r="H523" s="180"/>
      <c r="I523" s="21"/>
      <c r="J523" s="21"/>
      <c r="K523" s="200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92"/>
      <c r="B524" s="21"/>
      <c r="C524" s="21"/>
      <c r="D524" s="142"/>
      <c r="E524" s="109"/>
      <c r="F524" s="22"/>
      <c r="G524" s="240"/>
      <c r="H524" s="180"/>
      <c r="I524" s="21"/>
      <c r="J524" s="21"/>
      <c r="K524" s="200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92"/>
      <c r="B525" s="21"/>
      <c r="C525" s="21"/>
      <c r="D525" s="142"/>
      <c r="E525" s="109"/>
      <c r="F525" s="22"/>
      <c r="G525" s="240"/>
      <c r="H525" s="180"/>
      <c r="I525" s="21"/>
      <c r="J525" s="21"/>
      <c r="K525" s="200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92"/>
      <c r="B526" s="21"/>
      <c r="C526" s="21"/>
      <c r="D526" s="142"/>
      <c r="E526" s="109"/>
      <c r="F526" s="22"/>
      <c r="G526" s="240"/>
      <c r="H526" s="180"/>
      <c r="I526" s="21"/>
      <c r="J526" s="21"/>
      <c r="K526" s="200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92"/>
      <c r="B527" s="21"/>
      <c r="C527" s="21"/>
      <c r="D527" s="142"/>
      <c r="E527" s="109"/>
      <c r="F527" s="22"/>
      <c r="G527" s="240"/>
      <c r="H527" s="180"/>
      <c r="I527" s="21"/>
      <c r="J527" s="21"/>
      <c r="K527" s="200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92"/>
      <c r="B528" s="21"/>
      <c r="C528" s="21"/>
      <c r="D528" s="142"/>
      <c r="E528" s="109"/>
      <c r="F528" s="22"/>
      <c r="G528" s="240"/>
      <c r="H528" s="180"/>
      <c r="I528" s="21"/>
      <c r="J528" s="21"/>
      <c r="K528" s="200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92"/>
      <c r="B529" s="21"/>
      <c r="C529" s="21"/>
      <c r="D529" s="142"/>
      <c r="E529" s="109"/>
      <c r="F529" s="22"/>
      <c r="G529" s="240"/>
      <c r="H529" s="180"/>
      <c r="I529" s="21"/>
      <c r="J529" s="21"/>
      <c r="K529" s="200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92"/>
      <c r="B530" s="21"/>
      <c r="C530" s="21"/>
      <c r="D530" s="142"/>
      <c r="E530" s="109"/>
      <c r="F530" s="22"/>
      <c r="G530" s="240"/>
      <c r="H530" s="180"/>
      <c r="I530" s="21"/>
      <c r="J530" s="21"/>
      <c r="K530" s="200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92"/>
      <c r="B531" s="21"/>
      <c r="C531" s="21"/>
      <c r="D531" s="142"/>
      <c r="E531" s="109"/>
      <c r="F531" s="22"/>
      <c r="G531" s="240"/>
      <c r="H531" s="180"/>
      <c r="I531" s="21"/>
      <c r="J531" s="21"/>
      <c r="K531" s="200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92"/>
      <c r="B532" s="21"/>
      <c r="C532" s="21"/>
      <c r="D532" s="142"/>
      <c r="E532" s="109"/>
      <c r="F532" s="22"/>
      <c r="G532" s="240"/>
      <c r="H532" s="180"/>
      <c r="I532" s="21"/>
      <c r="J532" s="21"/>
      <c r="K532" s="200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92"/>
      <c r="B533" s="21"/>
      <c r="C533" s="21"/>
      <c r="D533" s="142"/>
      <c r="E533" s="109"/>
      <c r="F533" s="22"/>
      <c r="G533" s="240"/>
      <c r="H533" s="180"/>
      <c r="I533" s="21"/>
      <c r="J533" s="21"/>
      <c r="K533" s="200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92"/>
      <c r="B534" s="21"/>
      <c r="C534" s="21"/>
      <c r="D534" s="142"/>
      <c r="E534" s="109"/>
      <c r="F534" s="22"/>
      <c r="G534" s="240"/>
      <c r="H534" s="180"/>
      <c r="I534" s="21"/>
      <c r="J534" s="21"/>
      <c r="K534" s="200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92"/>
      <c r="B535" s="21"/>
      <c r="C535" s="21"/>
      <c r="D535" s="142"/>
      <c r="E535" s="109"/>
      <c r="F535" s="22"/>
      <c r="G535" s="240"/>
      <c r="H535" s="180"/>
      <c r="I535" s="21"/>
      <c r="J535" s="21"/>
      <c r="K535" s="200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92"/>
      <c r="B536" s="21"/>
      <c r="C536" s="21"/>
      <c r="D536" s="142"/>
      <c r="E536" s="109"/>
      <c r="F536" s="22"/>
      <c r="G536" s="240"/>
      <c r="H536" s="180"/>
      <c r="I536" s="21"/>
      <c r="J536" s="21"/>
      <c r="K536" s="200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92"/>
      <c r="B537" s="21"/>
      <c r="C537" s="21"/>
      <c r="D537" s="142"/>
      <c r="E537" s="109"/>
      <c r="F537" s="22"/>
      <c r="G537" s="240"/>
      <c r="H537" s="180"/>
      <c r="I537" s="21"/>
      <c r="J537" s="21"/>
      <c r="K537" s="200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92"/>
      <c r="B538" s="21"/>
      <c r="C538" s="21"/>
      <c r="D538" s="142"/>
      <c r="E538" s="109"/>
      <c r="F538" s="22"/>
      <c r="G538" s="240"/>
      <c r="H538" s="180"/>
      <c r="I538" s="21"/>
      <c r="J538" s="21"/>
      <c r="K538" s="200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92"/>
      <c r="B539" s="21"/>
      <c r="C539" s="21"/>
      <c r="D539" s="142"/>
      <c r="E539" s="109"/>
      <c r="F539" s="22"/>
      <c r="G539" s="240"/>
      <c r="H539" s="180"/>
      <c r="I539" s="21"/>
      <c r="J539" s="21"/>
      <c r="K539" s="200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92"/>
      <c r="B540" s="21"/>
      <c r="C540" s="21"/>
      <c r="D540" s="142"/>
      <c r="E540" s="109"/>
      <c r="F540" s="22"/>
      <c r="G540" s="240"/>
      <c r="H540" s="180"/>
      <c r="I540" s="21"/>
      <c r="J540" s="21"/>
      <c r="K540" s="200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92"/>
      <c r="B541" s="21"/>
      <c r="C541" s="21"/>
      <c r="D541" s="142"/>
      <c r="E541" s="109"/>
      <c r="F541" s="22"/>
      <c r="G541" s="240"/>
      <c r="H541" s="180"/>
      <c r="I541" s="21"/>
      <c r="J541" s="21"/>
      <c r="K541" s="200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92"/>
      <c r="B542" s="21"/>
      <c r="C542" s="21"/>
      <c r="D542" s="142"/>
      <c r="E542" s="109"/>
      <c r="F542" s="22"/>
      <c r="G542" s="240"/>
      <c r="H542" s="180"/>
      <c r="I542" s="21"/>
      <c r="J542" s="21"/>
      <c r="K542" s="200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92"/>
      <c r="B543" s="21"/>
      <c r="C543" s="21"/>
      <c r="D543" s="142"/>
      <c r="E543" s="109"/>
      <c r="F543" s="22"/>
      <c r="G543" s="240"/>
      <c r="H543" s="180"/>
      <c r="I543" s="21"/>
      <c r="J543" s="21"/>
      <c r="K543" s="200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92"/>
      <c r="B544" s="21"/>
      <c r="C544" s="21"/>
      <c r="D544" s="142"/>
      <c r="E544" s="109"/>
      <c r="F544" s="22"/>
      <c r="G544" s="240"/>
      <c r="H544" s="180"/>
      <c r="I544" s="21"/>
      <c r="J544" s="21"/>
      <c r="K544" s="200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92"/>
      <c r="B545" s="21"/>
      <c r="C545" s="21"/>
      <c r="D545" s="142"/>
      <c r="E545" s="109"/>
      <c r="F545" s="22"/>
      <c r="G545" s="240"/>
      <c r="H545" s="180"/>
      <c r="I545" s="21"/>
      <c r="J545" s="21"/>
      <c r="K545" s="200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92"/>
      <c r="B546" s="21"/>
      <c r="C546" s="21"/>
      <c r="D546" s="142"/>
      <c r="E546" s="109"/>
      <c r="F546" s="22"/>
      <c r="G546" s="240"/>
      <c r="H546" s="180"/>
      <c r="I546" s="21"/>
      <c r="J546" s="21"/>
      <c r="K546" s="200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92"/>
      <c r="B547" s="21"/>
      <c r="C547" s="21"/>
      <c r="D547" s="142"/>
      <c r="E547" s="109"/>
      <c r="F547" s="22"/>
      <c r="G547" s="240"/>
      <c r="H547" s="180"/>
      <c r="I547" s="21"/>
      <c r="J547" s="21"/>
      <c r="K547" s="200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92"/>
      <c r="B548" s="21"/>
      <c r="C548" s="21"/>
      <c r="D548" s="142"/>
      <c r="E548" s="109"/>
      <c r="F548" s="22"/>
      <c r="G548" s="240"/>
      <c r="H548" s="180"/>
      <c r="I548" s="21"/>
      <c r="J548" s="21"/>
      <c r="K548" s="200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92"/>
      <c r="B549" s="21"/>
      <c r="C549" s="21"/>
      <c r="D549" s="142"/>
      <c r="E549" s="109"/>
      <c r="F549" s="22"/>
      <c r="G549" s="240"/>
      <c r="H549" s="180"/>
      <c r="I549" s="21"/>
      <c r="J549" s="21"/>
      <c r="K549" s="200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92"/>
      <c r="B550" s="21"/>
      <c r="C550" s="21"/>
      <c r="D550" s="142"/>
      <c r="E550" s="109"/>
      <c r="F550" s="22"/>
      <c r="G550" s="240"/>
      <c r="H550" s="180"/>
      <c r="I550" s="21"/>
      <c r="J550" s="21"/>
      <c r="K550" s="200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92"/>
      <c r="B551" s="21"/>
      <c r="C551" s="21"/>
      <c r="D551" s="142"/>
      <c r="E551" s="109"/>
      <c r="F551" s="22"/>
      <c r="G551" s="240"/>
      <c r="H551" s="180"/>
      <c r="I551" s="21"/>
      <c r="J551" s="21"/>
      <c r="K551" s="200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92"/>
      <c r="B552" s="21"/>
      <c r="C552" s="21"/>
      <c r="D552" s="142"/>
      <c r="E552" s="109"/>
      <c r="F552" s="22"/>
      <c r="G552" s="240"/>
      <c r="H552" s="180"/>
      <c r="I552" s="21"/>
      <c r="J552" s="21"/>
      <c r="K552" s="200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92"/>
      <c r="B553" s="21"/>
      <c r="C553" s="21"/>
      <c r="D553" s="142"/>
      <c r="E553" s="109"/>
      <c r="F553" s="22"/>
      <c r="G553" s="240"/>
      <c r="H553" s="180"/>
      <c r="I553" s="21"/>
      <c r="J553" s="21"/>
      <c r="K553" s="200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92"/>
      <c r="B554" s="21"/>
      <c r="C554" s="21"/>
      <c r="D554" s="142"/>
      <c r="E554" s="109"/>
      <c r="F554" s="22"/>
      <c r="G554" s="240"/>
      <c r="H554" s="180"/>
      <c r="I554" s="21"/>
      <c r="J554" s="21"/>
      <c r="K554" s="200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92"/>
      <c r="B555" s="21"/>
      <c r="C555" s="21"/>
      <c r="D555" s="142"/>
      <c r="E555" s="109"/>
      <c r="F555" s="22"/>
      <c r="G555" s="240"/>
      <c r="H555" s="180"/>
      <c r="I555" s="21"/>
      <c r="J555" s="21"/>
      <c r="K555" s="200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92"/>
      <c r="B556" s="21"/>
      <c r="C556" s="21"/>
      <c r="D556" s="142"/>
      <c r="E556" s="109"/>
      <c r="F556" s="22"/>
      <c r="G556" s="240"/>
      <c r="H556" s="180"/>
      <c r="I556" s="21"/>
      <c r="J556" s="21"/>
      <c r="K556" s="200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92"/>
      <c r="B557" s="21"/>
      <c r="C557" s="21"/>
      <c r="D557" s="142"/>
      <c r="E557" s="109"/>
      <c r="F557" s="22"/>
      <c r="G557" s="240"/>
      <c r="H557" s="180"/>
      <c r="I557" s="21"/>
      <c r="J557" s="21"/>
      <c r="K557" s="200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92"/>
      <c r="B558" s="21"/>
      <c r="C558" s="21"/>
      <c r="D558" s="142"/>
      <c r="E558" s="109"/>
      <c r="F558" s="22"/>
      <c r="G558" s="240"/>
      <c r="H558" s="180"/>
      <c r="I558" s="21"/>
      <c r="J558" s="21"/>
      <c r="K558" s="200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92"/>
      <c r="B559" s="21"/>
      <c r="C559" s="21"/>
      <c r="D559" s="142"/>
      <c r="E559" s="109"/>
      <c r="F559" s="22"/>
      <c r="G559" s="240"/>
      <c r="H559" s="180"/>
      <c r="I559" s="21"/>
      <c r="J559" s="21"/>
      <c r="K559" s="200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92"/>
      <c r="B560" s="21"/>
      <c r="C560" s="21"/>
      <c r="D560" s="142"/>
      <c r="E560" s="109"/>
      <c r="F560" s="22"/>
      <c r="G560" s="240"/>
      <c r="H560" s="180"/>
      <c r="I560" s="21"/>
      <c r="J560" s="21"/>
      <c r="K560" s="200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92"/>
      <c r="B561" s="21"/>
      <c r="C561" s="21"/>
      <c r="D561" s="142"/>
      <c r="E561" s="109"/>
      <c r="F561" s="22"/>
      <c r="G561" s="240"/>
      <c r="H561" s="180"/>
      <c r="I561" s="21"/>
      <c r="J561" s="21"/>
      <c r="K561" s="200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92"/>
      <c r="B562" s="21"/>
      <c r="C562" s="21"/>
      <c r="D562" s="142"/>
      <c r="E562" s="109"/>
      <c r="F562" s="22"/>
      <c r="G562" s="240"/>
      <c r="H562" s="180"/>
      <c r="I562" s="21"/>
      <c r="J562" s="21"/>
      <c r="K562" s="200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92"/>
      <c r="B563" s="21"/>
      <c r="C563" s="21"/>
      <c r="D563" s="142"/>
      <c r="E563" s="109"/>
      <c r="F563" s="22"/>
      <c r="G563" s="240"/>
      <c r="H563" s="180"/>
      <c r="I563" s="21"/>
      <c r="J563" s="21"/>
      <c r="K563" s="200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92"/>
      <c r="B564" s="21"/>
      <c r="C564" s="21"/>
      <c r="D564" s="142"/>
      <c r="E564" s="109"/>
      <c r="F564" s="22"/>
      <c r="G564" s="240"/>
      <c r="H564" s="180"/>
      <c r="I564" s="21"/>
      <c r="J564" s="21"/>
      <c r="K564" s="200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92"/>
      <c r="B565" s="21"/>
      <c r="C565" s="21"/>
      <c r="D565" s="142"/>
      <c r="E565" s="109"/>
      <c r="F565" s="22"/>
      <c r="G565" s="240"/>
      <c r="H565" s="180"/>
      <c r="I565" s="21"/>
      <c r="J565" s="21"/>
      <c r="K565" s="200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92"/>
      <c r="B566" s="21"/>
      <c r="C566" s="21"/>
      <c r="D566" s="142"/>
      <c r="E566" s="109"/>
      <c r="F566" s="22"/>
      <c r="G566" s="240"/>
      <c r="H566" s="180"/>
      <c r="I566" s="21"/>
      <c r="J566" s="21"/>
      <c r="K566" s="200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92"/>
      <c r="B567" s="21"/>
      <c r="C567" s="21"/>
      <c r="D567" s="142"/>
      <c r="E567" s="109"/>
      <c r="F567" s="22"/>
      <c r="G567" s="240"/>
      <c r="H567" s="180"/>
      <c r="I567" s="21"/>
      <c r="J567" s="21"/>
      <c r="K567" s="200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92"/>
      <c r="B568" s="21"/>
      <c r="C568" s="21"/>
      <c r="D568" s="142"/>
      <c r="E568" s="109"/>
      <c r="F568" s="22"/>
      <c r="G568" s="240"/>
      <c r="H568" s="180"/>
      <c r="I568" s="21"/>
      <c r="J568" s="21"/>
      <c r="K568" s="200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92"/>
      <c r="B569" s="21"/>
      <c r="C569" s="21"/>
      <c r="D569" s="142"/>
      <c r="E569" s="109"/>
      <c r="F569" s="22"/>
      <c r="G569" s="240"/>
      <c r="H569" s="180"/>
      <c r="I569" s="21"/>
      <c r="J569" s="21"/>
      <c r="K569" s="200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92"/>
      <c r="B570" s="21"/>
      <c r="C570" s="21"/>
      <c r="D570" s="142"/>
      <c r="E570" s="109"/>
      <c r="F570" s="22"/>
      <c r="G570" s="240"/>
      <c r="H570" s="180"/>
      <c r="I570" s="21"/>
      <c r="J570" s="21"/>
      <c r="K570" s="200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92"/>
      <c r="B571" s="21"/>
      <c r="C571" s="21"/>
      <c r="D571" s="142"/>
      <c r="E571" s="109"/>
      <c r="F571" s="22"/>
      <c r="G571" s="240"/>
      <c r="H571" s="180"/>
      <c r="I571" s="21"/>
      <c r="J571" s="21"/>
      <c r="K571" s="200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92"/>
      <c r="B572" s="21"/>
      <c r="C572" s="21"/>
      <c r="D572" s="142"/>
      <c r="E572" s="109"/>
      <c r="F572" s="22"/>
      <c r="G572" s="240"/>
      <c r="H572" s="180"/>
      <c r="I572" s="21"/>
      <c r="J572" s="21"/>
      <c r="K572" s="200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92"/>
      <c r="B573" s="21"/>
      <c r="C573" s="21"/>
      <c r="D573" s="142"/>
      <c r="E573" s="109"/>
      <c r="F573" s="22"/>
      <c r="G573" s="240"/>
      <c r="H573" s="180"/>
      <c r="I573" s="21"/>
      <c r="J573" s="21"/>
      <c r="K573" s="200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92"/>
      <c r="B574" s="21"/>
      <c r="C574" s="21"/>
      <c r="D574" s="142"/>
      <c r="E574" s="109"/>
      <c r="F574" s="22"/>
      <c r="G574" s="240"/>
      <c r="H574" s="180"/>
      <c r="I574" s="21"/>
      <c r="J574" s="21"/>
      <c r="K574" s="200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92"/>
      <c r="B575" s="21"/>
      <c r="C575" s="21"/>
      <c r="D575" s="142"/>
      <c r="E575" s="109"/>
      <c r="F575" s="22"/>
      <c r="G575" s="240"/>
      <c r="H575" s="180"/>
      <c r="I575" s="21"/>
      <c r="J575" s="21"/>
      <c r="K575" s="200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92"/>
      <c r="B576" s="21"/>
      <c r="C576" s="21"/>
      <c r="D576" s="142"/>
      <c r="E576" s="109"/>
      <c r="F576" s="22"/>
      <c r="G576" s="240"/>
      <c r="H576" s="180"/>
      <c r="I576" s="21"/>
      <c r="J576" s="21"/>
      <c r="K576" s="200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92"/>
      <c r="B577" s="21"/>
      <c r="C577" s="21"/>
      <c r="D577" s="142"/>
      <c r="E577" s="109"/>
      <c r="F577" s="22"/>
      <c r="G577" s="240"/>
      <c r="H577" s="180"/>
      <c r="I577" s="21"/>
      <c r="J577" s="21"/>
      <c r="K577" s="200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92"/>
      <c r="B578" s="21"/>
      <c r="C578" s="21"/>
      <c r="D578" s="142"/>
      <c r="E578" s="109"/>
      <c r="F578" s="22"/>
      <c r="G578" s="240"/>
      <c r="H578" s="180"/>
      <c r="I578" s="21"/>
      <c r="J578" s="21"/>
      <c r="K578" s="200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92"/>
      <c r="B579" s="21"/>
      <c r="C579" s="21"/>
      <c r="D579" s="142"/>
      <c r="E579" s="109"/>
      <c r="F579" s="22"/>
      <c r="G579" s="240"/>
      <c r="H579" s="180"/>
      <c r="I579" s="21"/>
      <c r="J579" s="21"/>
      <c r="K579" s="200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92"/>
      <c r="B580" s="21"/>
      <c r="C580" s="21"/>
      <c r="D580" s="142"/>
      <c r="E580" s="109"/>
      <c r="F580" s="22"/>
      <c r="G580" s="240"/>
      <c r="H580" s="180"/>
      <c r="I580" s="21"/>
      <c r="J580" s="21"/>
      <c r="K580" s="200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92"/>
      <c r="B581" s="21"/>
      <c r="C581" s="21"/>
      <c r="D581" s="142"/>
      <c r="E581" s="109"/>
      <c r="F581" s="22"/>
      <c r="G581" s="240"/>
      <c r="H581" s="180"/>
      <c r="I581" s="21"/>
      <c r="J581" s="21"/>
      <c r="K581" s="200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92"/>
      <c r="B582" s="21"/>
      <c r="C582" s="21"/>
      <c r="D582" s="142"/>
      <c r="E582" s="109"/>
      <c r="F582" s="22"/>
      <c r="G582" s="240"/>
      <c r="H582" s="180"/>
      <c r="I582" s="21"/>
      <c r="J582" s="21"/>
      <c r="K582" s="200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92"/>
      <c r="B583" s="21"/>
      <c r="C583" s="21"/>
      <c r="D583" s="142"/>
      <c r="E583" s="109"/>
      <c r="F583" s="22"/>
      <c r="G583" s="240"/>
      <c r="H583" s="180"/>
      <c r="I583" s="21"/>
      <c r="J583" s="21"/>
      <c r="K583" s="200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92"/>
      <c r="B584" s="21"/>
      <c r="C584" s="21"/>
      <c r="D584" s="142"/>
      <c r="E584" s="109"/>
      <c r="F584" s="22"/>
      <c r="G584" s="240"/>
      <c r="H584" s="180"/>
      <c r="I584" s="21"/>
      <c r="J584" s="21"/>
      <c r="K584" s="200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92"/>
      <c r="B585" s="21"/>
      <c r="C585" s="21"/>
      <c r="D585" s="142"/>
      <c r="E585" s="109"/>
      <c r="F585" s="22"/>
      <c r="G585" s="240"/>
      <c r="H585" s="180"/>
      <c r="I585" s="21"/>
      <c r="J585" s="21"/>
      <c r="K585" s="200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92"/>
      <c r="B586" s="21"/>
      <c r="C586" s="21"/>
      <c r="D586" s="142"/>
      <c r="E586" s="109"/>
      <c r="F586" s="22"/>
      <c r="G586" s="240"/>
      <c r="H586" s="180"/>
      <c r="I586" s="21"/>
      <c r="J586" s="21"/>
      <c r="K586" s="200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92"/>
      <c r="B587" s="21"/>
      <c r="C587" s="21"/>
      <c r="D587" s="142"/>
      <c r="E587" s="109"/>
      <c r="F587" s="22"/>
      <c r="G587" s="240"/>
      <c r="H587" s="180"/>
      <c r="I587" s="21"/>
      <c r="J587" s="21"/>
      <c r="K587" s="200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92"/>
      <c r="B588" s="21"/>
      <c r="C588" s="21"/>
      <c r="D588" s="142"/>
      <c r="E588" s="109"/>
      <c r="F588" s="22"/>
      <c r="G588" s="240"/>
      <c r="H588" s="180"/>
      <c r="I588" s="21"/>
      <c r="J588" s="21"/>
      <c r="K588" s="200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92"/>
      <c r="B589" s="21"/>
      <c r="C589" s="21"/>
      <c r="D589" s="142"/>
      <c r="E589" s="109"/>
      <c r="F589" s="22"/>
      <c r="G589" s="240"/>
      <c r="H589" s="180"/>
      <c r="I589" s="21"/>
      <c r="J589" s="21"/>
      <c r="K589" s="200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92"/>
      <c r="B590" s="21"/>
      <c r="C590" s="21"/>
      <c r="D590" s="142"/>
      <c r="E590" s="109"/>
      <c r="F590" s="22"/>
      <c r="G590" s="240"/>
      <c r="H590" s="180"/>
      <c r="I590" s="21"/>
      <c r="J590" s="21"/>
      <c r="K590" s="200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92"/>
      <c r="B591" s="21"/>
      <c r="C591" s="21"/>
      <c r="D591" s="142"/>
      <c r="E591" s="109"/>
      <c r="F591" s="22"/>
      <c r="G591" s="240"/>
      <c r="H591" s="180"/>
      <c r="I591" s="21"/>
      <c r="J591" s="21"/>
      <c r="K591" s="200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92"/>
      <c r="B592" s="21"/>
      <c r="C592" s="21"/>
      <c r="D592" s="142"/>
      <c r="E592" s="109"/>
      <c r="F592" s="22"/>
      <c r="G592" s="240"/>
      <c r="H592" s="180"/>
      <c r="I592" s="21"/>
      <c r="J592" s="21"/>
      <c r="K592" s="200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92"/>
      <c r="B593" s="21"/>
      <c r="C593" s="21"/>
      <c r="D593" s="142"/>
      <c r="E593" s="109"/>
      <c r="F593" s="22"/>
      <c r="G593" s="240"/>
      <c r="H593" s="180"/>
      <c r="I593" s="21"/>
      <c r="J593" s="21"/>
      <c r="K593" s="200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92"/>
      <c r="B594" s="21"/>
      <c r="C594" s="21"/>
      <c r="D594" s="142"/>
      <c r="E594" s="109"/>
      <c r="F594" s="22"/>
      <c r="G594" s="240"/>
      <c r="H594" s="180"/>
      <c r="I594" s="21"/>
      <c r="J594" s="21"/>
      <c r="K594" s="200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92"/>
      <c r="B595" s="21"/>
      <c r="C595" s="21"/>
      <c r="D595" s="142"/>
      <c r="E595" s="109"/>
      <c r="F595" s="22"/>
      <c r="G595" s="240"/>
      <c r="H595" s="180"/>
      <c r="I595" s="21"/>
      <c r="J595" s="21"/>
      <c r="K595" s="200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92"/>
      <c r="B596" s="21"/>
      <c r="C596" s="21"/>
      <c r="D596" s="142"/>
      <c r="E596" s="109"/>
      <c r="F596" s="22"/>
      <c r="G596" s="240"/>
      <c r="H596" s="180"/>
      <c r="I596" s="21"/>
      <c r="J596" s="21"/>
      <c r="K596" s="200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92"/>
      <c r="B597" s="21"/>
      <c r="C597" s="21"/>
      <c r="D597" s="142"/>
      <c r="E597" s="109"/>
      <c r="F597" s="22"/>
      <c r="G597" s="240"/>
      <c r="H597" s="180"/>
      <c r="I597" s="21"/>
      <c r="J597" s="21"/>
      <c r="K597" s="200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92"/>
      <c r="B598" s="21"/>
      <c r="C598" s="21"/>
      <c r="D598" s="142"/>
      <c r="E598" s="109"/>
      <c r="F598" s="22"/>
      <c r="G598" s="240"/>
      <c r="H598" s="180"/>
      <c r="I598" s="21"/>
      <c r="J598" s="21"/>
      <c r="K598" s="200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92"/>
      <c r="B599" s="21"/>
      <c r="C599" s="21"/>
      <c r="D599" s="142"/>
      <c r="E599" s="109"/>
      <c r="F599" s="22"/>
      <c r="G599" s="240"/>
      <c r="H599" s="180"/>
      <c r="I599" s="21"/>
      <c r="J599" s="21"/>
      <c r="K599" s="200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92"/>
      <c r="B600" s="21"/>
      <c r="C600" s="21"/>
      <c r="D600" s="142"/>
      <c r="E600" s="109"/>
      <c r="F600" s="22"/>
      <c r="G600" s="240"/>
      <c r="H600" s="180"/>
      <c r="I600" s="21"/>
      <c r="J600" s="21"/>
      <c r="K600" s="200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92"/>
      <c r="B601" s="21"/>
      <c r="C601" s="21"/>
      <c r="D601" s="142"/>
      <c r="E601" s="109"/>
      <c r="F601" s="22"/>
      <c r="G601" s="240"/>
      <c r="H601" s="180"/>
      <c r="I601" s="21"/>
      <c r="J601" s="21"/>
      <c r="K601" s="200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92"/>
      <c r="B602" s="21"/>
      <c r="C602" s="21"/>
      <c r="D602" s="142"/>
      <c r="E602" s="109"/>
      <c r="F602" s="22"/>
      <c r="G602" s="240"/>
      <c r="H602" s="180"/>
      <c r="I602" s="21"/>
      <c r="J602" s="21"/>
      <c r="K602" s="200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92"/>
      <c r="B603" s="21"/>
      <c r="C603" s="21"/>
      <c r="D603" s="142"/>
      <c r="E603" s="109"/>
      <c r="F603" s="22"/>
      <c r="G603" s="240"/>
      <c r="H603" s="180"/>
      <c r="I603" s="21"/>
      <c r="J603" s="21"/>
      <c r="K603" s="200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92"/>
      <c r="B604" s="21"/>
      <c r="C604" s="21"/>
      <c r="D604" s="142"/>
      <c r="E604" s="109"/>
      <c r="F604" s="22"/>
      <c r="G604" s="240"/>
      <c r="H604" s="180"/>
      <c r="I604" s="21"/>
      <c r="J604" s="21"/>
      <c r="K604" s="200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92"/>
      <c r="B605" s="21"/>
      <c r="C605" s="21"/>
      <c r="D605" s="142"/>
      <c r="E605" s="109"/>
      <c r="F605" s="22"/>
      <c r="G605" s="240"/>
      <c r="H605" s="180"/>
      <c r="I605" s="21"/>
      <c r="J605" s="21"/>
      <c r="K605" s="200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92"/>
      <c r="B606" s="21"/>
      <c r="C606" s="21"/>
      <c r="D606" s="142"/>
      <c r="E606" s="109"/>
      <c r="F606" s="22"/>
      <c r="G606" s="240"/>
      <c r="H606" s="180"/>
      <c r="I606" s="21"/>
      <c r="J606" s="21"/>
      <c r="K606" s="200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92"/>
      <c r="B607" s="21"/>
      <c r="C607" s="21"/>
      <c r="D607" s="142"/>
      <c r="E607" s="109"/>
      <c r="F607" s="22"/>
      <c r="G607" s="240"/>
      <c r="H607" s="180"/>
      <c r="I607" s="21"/>
      <c r="J607" s="21"/>
      <c r="K607" s="200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92"/>
      <c r="B608" s="21"/>
      <c r="C608" s="21"/>
      <c r="D608" s="142"/>
      <c r="E608" s="109"/>
      <c r="F608" s="22"/>
      <c r="G608" s="240"/>
      <c r="H608" s="180"/>
      <c r="I608" s="21"/>
      <c r="J608" s="21"/>
      <c r="K608" s="200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92"/>
      <c r="B609" s="21"/>
      <c r="C609" s="21"/>
      <c r="D609" s="142"/>
      <c r="E609" s="109"/>
      <c r="F609" s="22"/>
      <c r="G609" s="240"/>
      <c r="H609" s="180"/>
      <c r="I609" s="21"/>
      <c r="J609" s="21"/>
      <c r="K609" s="200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92"/>
      <c r="B610" s="21"/>
      <c r="C610" s="21"/>
      <c r="D610" s="142"/>
      <c r="E610" s="109"/>
      <c r="F610" s="22"/>
      <c r="G610" s="240"/>
      <c r="H610" s="180"/>
      <c r="I610" s="21"/>
      <c r="J610" s="21"/>
      <c r="K610" s="200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92"/>
      <c r="B611" s="21"/>
      <c r="C611" s="21"/>
      <c r="D611" s="142"/>
      <c r="E611" s="109"/>
      <c r="F611" s="22"/>
      <c r="G611" s="240"/>
      <c r="H611" s="180"/>
      <c r="I611" s="21"/>
      <c r="J611" s="21"/>
      <c r="K611" s="200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92"/>
      <c r="B612" s="21"/>
      <c r="C612" s="21"/>
      <c r="D612" s="142"/>
      <c r="E612" s="109"/>
      <c r="F612" s="22"/>
      <c r="G612" s="240"/>
      <c r="H612" s="180"/>
      <c r="I612" s="21"/>
      <c r="J612" s="21"/>
      <c r="K612" s="200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92"/>
      <c r="B613" s="21"/>
      <c r="C613" s="21"/>
      <c r="D613" s="142"/>
      <c r="E613" s="109"/>
      <c r="F613" s="22"/>
      <c r="G613" s="240"/>
      <c r="H613" s="180"/>
      <c r="I613" s="21"/>
      <c r="J613" s="21"/>
      <c r="K613" s="200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92"/>
      <c r="B614" s="21"/>
      <c r="C614" s="21"/>
      <c r="D614" s="142"/>
      <c r="E614" s="109"/>
      <c r="F614" s="22"/>
      <c r="G614" s="240"/>
      <c r="H614" s="180"/>
      <c r="I614" s="21"/>
      <c r="J614" s="21"/>
      <c r="K614" s="200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92"/>
      <c r="B615" s="21"/>
      <c r="C615" s="21"/>
      <c r="D615" s="142"/>
      <c r="E615" s="109"/>
      <c r="F615" s="22"/>
      <c r="G615" s="240"/>
      <c r="H615" s="180"/>
      <c r="I615" s="21"/>
      <c r="J615" s="21"/>
      <c r="K615" s="200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92"/>
      <c r="B616" s="21"/>
      <c r="C616" s="21"/>
      <c r="D616" s="142"/>
      <c r="E616" s="109"/>
      <c r="F616" s="22"/>
      <c r="G616" s="240"/>
      <c r="H616" s="180"/>
      <c r="I616" s="21"/>
      <c r="J616" s="21"/>
      <c r="K616" s="200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92"/>
      <c r="B617" s="21"/>
      <c r="C617" s="21"/>
      <c r="D617" s="142"/>
      <c r="E617" s="109"/>
      <c r="F617" s="22"/>
      <c r="G617" s="240"/>
      <c r="H617" s="180"/>
      <c r="I617" s="21"/>
      <c r="J617" s="21"/>
      <c r="K617" s="200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92"/>
      <c r="B618" s="21"/>
      <c r="C618" s="21"/>
      <c r="D618" s="142"/>
      <c r="E618" s="109"/>
      <c r="F618" s="22"/>
      <c r="G618" s="240"/>
      <c r="H618" s="180"/>
      <c r="I618" s="21"/>
      <c r="J618" s="21"/>
      <c r="K618" s="200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92"/>
      <c r="B619" s="21"/>
      <c r="C619" s="21"/>
      <c r="D619" s="142"/>
      <c r="E619" s="109"/>
      <c r="F619" s="22"/>
      <c r="G619" s="240"/>
      <c r="H619" s="180"/>
      <c r="I619" s="21"/>
      <c r="J619" s="21"/>
      <c r="K619" s="200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92"/>
      <c r="B620" s="21"/>
      <c r="C620" s="21"/>
      <c r="D620" s="142"/>
      <c r="E620" s="109"/>
      <c r="F620" s="22"/>
      <c r="G620" s="240"/>
      <c r="H620" s="180"/>
      <c r="I620" s="21"/>
      <c r="J620" s="21"/>
      <c r="K620" s="200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92"/>
      <c r="B621" s="21"/>
      <c r="C621" s="21"/>
      <c r="D621" s="142"/>
      <c r="E621" s="109"/>
      <c r="F621" s="22"/>
      <c r="G621" s="240"/>
      <c r="H621" s="180"/>
      <c r="I621" s="21"/>
      <c r="J621" s="21"/>
      <c r="K621" s="200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92"/>
      <c r="B622" s="21"/>
      <c r="C622" s="21"/>
      <c r="D622" s="142"/>
      <c r="E622" s="109"/>
      <c r="F622" s="22"/>
      <c r="G622" s="240"/>
      <c r="H622" s="180"/>
      <c r="I622" s="21"/>
      <c r="J622" s="21"/>
      <c r="K622" s="200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92"/>
      <c r="B623" s="21"/>
      <c r="C623" s="21"/>
      <c r="D623" s="142"/>
      <c r="E623" s="109"/>
      <c r="F623" s="22"/>
      <c r="G623" s="240"/>
      <c r="H623" s="180"/>
      <c r="I623" s="21"/>
      <c r="J623" s="21"/>
      <c r="K623" s="200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92"/>
      <c r="B624" s="21"/>
      <c r="C624" s="21"/>
      <c r="D624" s="142"/>
      <c r="E624" s="109"/>
      <c r="F624" s="22"/>
      <c r="G624" s="240"/>
      <c r="H624" s="180"/>
      <c r="I624" s="21"/>
      <c r="J624" s="21"/>
      <c r="K624" s="200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92"/>
      <c r="B625" s="21"/>
      <c r="C625" s="21"/>
      <c r="D625" s="142"/>
      <c r="E625" s="109"/>
      <c r="F625" s="22"/>
      <c r="G625" s="240"/>
      <c r="H625" s="180"/>
      <c r="I625" s="21"/>
      <c r="J625" s="21"/>
      <c r="K625" s="200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92"/>
      <c r="B626" s="21"/>
      <c r="C626" s="21"/>
      <c r="D626" s="142"/>
      <c r="E626" s="109"/>
      <c r="F626" s="22"/>
      <c r="G626" s="240"/>
      <c r="H626" s="180"/>
      <c r="I626" s="21"/>
      <c r="J626" s="21"/>
      <c r="K626" s="200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92"/>
      <c r="B627" s="21"/>
      <c r="C627" s="21"/>
      <c r="D627" s="142"/>
      <c r="E627" s="109"/>
      <c r="F627" s="22"/>
      <c r="G627" s="240"/>
      <c r="H627" s="180"/>
      <c r="I627" s="21"/>
      <c r="J627" s="21"/>
      <c r="K627" s="200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92"/>
      <c r="B628" s="21"/>
      <c r="C628" s="21"/>
      <c r="D628" s="142"/>
      <c r="E628" s="109"/>
      <c r="F628" s="22"/>
      <c r="G628" s="240"/>
      <c r="H628" s="180"/>
      <c r="I628" s="21"/>
      <c r="J628" s="21"/>
      <c r="K628" s="200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92"/>
      <c r="B629" s="21"/>
      <c r="C629" s="21"/>
      <c r="D629" s="142"/>
      <c r="E629" s="109"/>
      <c r="F629" s="22"/>
      <c r="G629" s="240"/>
      <c r="H629" s="180"/>
      <c r="I629" s="21"/>
      <c r="J629" s="21"/>
      <c r="K629" s="200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92"/>
      <c r="B630" s="21"/>
      <c r="C630" s="21"/>
      <c r="D630" s="142"/>
      <c r="E630" s="109"/>
      <c r="F630" s="22"/>
      <c r="G630" s="240"/>
      <c r="H630" s="180"/>
      <c r="I630" s="21"/>
      <c r="J630" s="21"/>
      <c r="K630" s="200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92"/>
      <c r="B631" s="21"/>
      <c r="C631" s="21"/>
      <c r="D631" s="142"/>
      <c r="E631" s="109"/>
      <c r="F631" s="22"/>
      <c r="G631" s="240"/>
      <c r="H631" s="180"/>
      <c r="I631" s="21"/>
      <c r="J631" s="21"/>
      <c r="K631" s="200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92"/>
      <c r="B632" s="21"/>
      <c r="C632" s="21"/>
      <c r="D632" s="142"/>
      <c r="E632" s="109"/>
      <c r="F632" s="22"/>
      <c r="G632" s="240"/>
      <c r="H632" s="180"/>
      <c r="I632" s="21"/>
      <c r="J632" s="21"/>
      <c r="K632" s="200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92"/>
      <c r="B633" s="21"/>
      <c r="C633" s="21"/>
      <c r="D633" s="142"/>
      <c r="E633" s="109"/>
      <c r="F633" s="22"/>
      <c r="G633" s="240"/>
      <c r="H633" s="180"/>
      <c r="I633" s="21"/>
      <c r="J633" s="21"/>
      <c r="K633" s="200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92"/>
      <c r="B634" s="21"/>
      <c r="C634" s="21"/>
      <c r="D634" s="142"/>
      <c r="E634" s="109"/>
      <c r="F634" s="22"/>
      <c r="G634" s="240"/>
      <c r="H634" s="180"/>
      <c r="I634" s="21"/>
      <c r="J634" s="21"/>
      <c r="K634" s="200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92"/>
      <c r="B635" s="21"/>
      <c r="C635" s="21"/>
      <c r="D635" s="142"/>
      <c r="E635" s="109"/>
      <c r="F635" s="22"/>
      <c r="G635" s="240"/>
      <c r="H635" s="180"/>
      <c r="I635" s="21"/>
      <c r="J635" s="21"/>
      <c r="K635" s="200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92"/>
      <c r="B636" s="21"/>
      <c r="C636" s="21"/>
      <c r="D636" s="142"/>
      <c r="E636" s="109"/>
      <c r="F636" s="22"/>
      <c r="G636" s="240"/>
      <c r="H636" s="180"/>
      <c r="I636" s="21"/>
      <c r="J636" s="21"/>
      <c r="K636" s="200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92"/>
      <c r="B637" s="21"/>
      <c r="C637" s="21"/>
      <c r="D637" s="142"/>
      <c r="E637" s="109"/>
      <c r="F637" s="22"/>
      <c r="G637" s="240"/>
      <c r="H637" s="180"/>
      <c r="I637" s="21"/>
      <c r="J637" s="21"/>
      <c r="K637" s="200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92"/>
      <c r="B638" s="21"/>
      <c r="C638" s="21"/>
      <c r="D638" s="142"/>
      <c r="E638" s="109"/>
      <c r="F638" s="22"/>
      <c r="G638" s="240"/>
      <c r="H638" s="180"/>
      <c r="I638" s="21"/>
      <c r="J638" s="21"/>
      <c r="K638" s="200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92"/>
      <c r="B639" s="21"/>
      <c r="C639" s="21"/>
      <c r="D639" s="142"/>
      <c r="E639" s="109"/>
      <c r="F639" s="22"/>
      <c r="G639" s="240"/>
      <c r="H639" s="180"/>
      <c r="I639" s="21"/>
      <c r="J639" s="21"/>
      <c r="K639" s="200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92"/>
      <c r="B640" s="21"/>
      <c r="C640" s="21"/>
      <c r="D640" s="142"/>
      <c r="E640" s="109"/>
      <c r="F640" s="22"/>
      <c r="G640" s="240"/>
      <c r="H640" s="180"/>
      <c r="I640" s="21"/>
      <c r="J640" s="21"/>
      <c r="K640" s="200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92"/>
      <c r="B641" s="21"/>
      <c r="C641" s="21"/>
      <c r="D641" s="142"/>
      <c r="E641" s="109"/>
      <c r="F641" s="22"/>
      <c r="G641" s="240"/>
      <c r="H641" s="180"/>
      <c r="I641" s="21"/>
      <c r="J641" s="21"/>
      <c r="K641" s="200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92"/>
      <c r="B642" s="21"/>
      <c r="C642" s="21"/>
      <c r="D642" s="142"/>
      <c r="E642" s="109"/>
      <c r="F642" s="22"/>
      <c r="G642" s="240"/>
      <c r="H642" s="180"/>
      <c r="I642" s="21"/>
      <c r="J642" s="21"/>
      <c r="K642" s="200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92"/>
      <c r="B643" s="21"/>
      <c r="C643" s="21"/>
      <c r="D643" s="142"/>
      <c r="E643" s="109"/>
      <c r="F643" s="22"/>
      <c r="G643" s="240"/>
      <c r="H643" s="180"/>
      <c r="I643" s="21"/>
      <c r="J643" s="21"/>
      <c r="K643" s="200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92"/>
      <c r="B644" s="21"/>
      <c r="C644" s="21"/>
      <c r="D644" s="142"/>
      <c r="E644" s="109"/>
      <c r="F644" s="22"/>
      <c r="G644" s="240"/>
      <c r="H644" s="180"/>
      <c r="I644" s="21"/>
      <c r="J644" s="21"/>
      <c r="K644" s="200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92"/>
      <c r="B645" s="21"/>
      <c r="C645" s="21"/>
      <c r="D645" s="142"/>
      <c r="E645" s="109"/>
      <c r="F645" s="22"/>
      <c r="G645" s="240"/>
      <c r="H645" s="180"/>
      <c r="I645" s="21"/>
      <c r="J645" s="21"/>
      <c r="K645" s="200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92"/>
      <c r="B646" s="21"/>
      <c r="C646" s="21"/>
      <c r="D646" s="142"/>
      <c r="E646" s="109"/>
      <c r="F646" s="22"/>
      <c r="G646" s="240"/>
      <c r="H646" s="180"/>
      <c r="I646" s="21"/>
      <c r="J646" s="21"/>
      <c r="K646" s="200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92"/>
      <c r="B647" s="21"/>
      <c r="C647" s="21"/>
      <c r="D647" s="142"/>
      <c r="E647" s="109"/>
      <c r="F647" s="22"/>
      <c r="G647" s="240"/>
      <c r="H647" s="180"/>
      <c r="I647" s="21"/>
      <c r="J647" s="21"/>
      <c r="K647" s="200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92"/>
      <c r="B648" s="21"/>
      <c r="C648" s="21"/>
      <c r="D648" s="142"/>
      <c r="E648" s="109"/>
      <c r="F648" s="22"/>
      <c r="G648" s="240"/>
      <c r="H648" s="180"/>
      <c r="I648" s="21"/>
      <c r="J648" s="21"/>
      <c r="K648" s="200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92"/>
      <c r="B649" s="21"/>
      <c r="C649" s="21"/>
      <c r="D649" s="142"/>
      <c r="E649" s="109"/>
      <c r="F649" s="22"/>
      <c r="G649" s="240"/>
      <c r="H649" s="180"/>
      <c r="I649" s="21"/>
      <c r="J649" s="21"/>
      <c r="K649" s="200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92"/>
      <c r="B650" s="21"/>
      <c r="C650" s="21"/>
      <c r="D650" s="142"/>
      <c r="E650" s="109"/>
      <c r="F650" s="22"/>
      <c r="G650" s="240"/>
      <c r="H650" s="180"/>
      <c r="I650" s="21"/>
      <c r="J650" s="21"/>
      <c r="K650" s="200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92"/>
      <c r="B651" s="21"/>
      <c r="C651" s="21"/>
      <c r="D651" s="142"/>
      <c r="E651" s="109"/>
      <c r="F651" s="22"/>
      <c r="G651" s="240"/>
      <c r="H651" s="180"/>
      <c r="I651" s="21"/>
      <c r="J651" s="21"/>
      <c r="K651" s="200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92"/>
      <c r="B652" s="21"/>
      <c r="C652" s="21"/>
      <c r="D652" s="142"/>
      <c r="E652" s="109"/>
      <c r="F652" s="22"/>
      <c r="G652" s="240"/>
      <c r="H652" s="180"/>
      <c r="I652" s="21"/>
      <c r="J652" s="21"/>
      <c r="K652" s="200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92"/>
      <c r="B653" s="21"/>
      <c r="C653" s="21"/>
      <c r="D653" s="142"/>
      <c r="E653" s="109"/>
      <c r="F653" s="22"/>
      <c r="G653" s="240"/>
      <c r="H653" s="180"/>
      <c r="I653" s="21"/>
      <c r="J653" s="21"/>
      <c r="K653" s="200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92"/>
      <c r="B654" s="21"/>
      <c r="C654" s="21"/>
      <c r="D654" s="142"/>
      <c r="E654" s="109"/>
      <c r="F654" s="22"/>
      <c r="G654" s="240"/>
      <c r="H654" s="180"/>
      <c r="I654" s="21"/>
      <c r="J654" s="21"/>
      <c r="K654" s="200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92"/>
      <c r="B655" s="21"/>
      <c r="C655" s="21"/>
      <c r="D655" s="142"/>
      <c r="E655" s="109"/>
      <c r="F655" s="22"/>
      <c r="G655" s="240"/>
      <c r="H655" s="180"/>
      <c r="I655" s="21"/>
      <c r="J655" s="21"/>
      <c r="K655" s="200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92"/>
      <c r="B656" s="21"/>
      <c r="C656" s="21"/>
      <c r="D656" s="142"/>
      <c r="E656" s="109"/>
      <c r="F656" s="22"/>
      <c r="G656" s="240"/>
      <c r="H656" s="180"/>
      <c r="I656" s="21"/>
      <c r="J656" s="21"/>
      <c r="K656" s="200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92"/>
      <c r="B657" s="21"/>
      <c r="C657" s="21"/>
      <c r="D657" s="142"/>
      <c r="E657" s="109"/>
      <c r="F657" s="22"/>
      <c r="G657" s="240"/>
      <c r="H657" s="180"/>
      <c r="I657" s="21"/>
      <c r="J657" s="21"/>
      <c r="K657" s="200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92"/>
      <c r="B658" s="21"/>
      <c r="C658" s="21"/>
      <c r="D658" s="142"/>
      <c r="E658" s="109"/>
      <c r="F658" s="22"/>
      <c r="G658" s="240"/>
      <c r="H658" s="180"/>
      <c r="I658" s="21"/>
      <c r="J658" s="21"/>
      <c r="K658" s="200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92"/>
      <c r="B659" s="21"/>
      <c r="C659" s="21"/>
      <c r="D659" s="142"/>
      <c r="E659" s="109"/>
      <c r="F659" s="22"/>
      <c r="G659" s="240"/>
      <c r="H659" s="180"/>
      <c r="I659" s="21"/>
      <c r="J659" s="21"/>
      <c r="K659" s="200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92"/>
      <c r="B660" s="21"/>
      <c r="C660" s="21"/>
      <c r="D660" s="142"/>
      <c r="E660" s="109"/>
      <c r="F660" s="22"/>
      <c r="G660" s="240"/>
      <c r="H660" s="180"/>
      <c r="I660" s="21"/>
      <c r="J660" s="21"/>
      <c r="K660" s="200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92"/>
      <c r="B661" s="21"/>
      <c r="C661" s="21"/>
      <c r="D661" s="142"/>
      <c r="E661" s="109"/>
      <c r="F661" s="22"/>
      <c r="G661" s="240"/>
      <c r="H661" s="180"/>
      <c r="I661" s="21"/>
      <c r="J661" s="21"/>
      <c r="K661" s="200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92"/>
      <c r="B662" s="21"/>
      <c r="C662" s="21"/>
      <c r="D662" s="142"/>
      <c r="E662" s="109"/>
      <c r="F662" s="22"/>
      <c r="G662" s="240"/>
      <c r="H662" s="180"/>
      <c r="I662" s="21"/>
      <c r="J662" s="21"/>
      <c r="K662" s="200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92"/>
      <c r="B663" s="21"/>
      <c r="C663" s="21"/>
      <c r="D663" s="142"/>
      <c r="E663" s="109"/>
      <c r="F663" s="22"/>
      <c r="G663" s="240"/>
      <c r="H663" s="180"/>
      <c r="I663" s="21"/>
      <c r="J663" s="21"/>
      <c r="K663" s="200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92"/>
      <c r="B664" s="21"/>
      <c r="C664" s="21"/>
      <c r="D664" s="142"/>
      <c r="E664" s="109"/>
      <c r="F664" s="22"/>
      <c r="G664" s="240"/>
      <c r="H664" s="180"/>
      <c r="I664" s="21"/>
      <c r="J664" s="21"/>
      <c r="K664" s="200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92"/>
      <c r="B665" s="21"/>
      <c r="C665" s="21"/>
      <c r="D665" s="142"/>
      <c r="E665" s="109"/>
      <c r="F665" s="22"/>
      <c r="G665" s="240"/>
      <c r="H665" s="180"/>
      <c r="I665" s="21"/>
      <c r="J665" s="21"/>
      <c r="K665" s="200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92"/>
      <c r="B666" s="21"/>
      <c r="C666" s="21"/>
      <c r="D666" s="142"/>
      <c r="E666" s="109"/>
      <c r="F666" s="22"/>
      <c r="G666" s="240"/>
      <c r="H666" s="180"/>
      <c r="I666" s="21"/>
      <c r="J666" s="21"/>
      <c r="K666" s="200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92"/>
      <c r="B667" s="21"/>
      <c r="C667" s="21"/>
      <c r="D667" s="142"/>
      <c r="E667" s="109"/>
      <c r="F667" s="22"/>
      <c r="G667" s="240"/>
      <c r="H667" s="180"/>
      <c r="I667" s="21"/>
      <c r="J667" s="21"/>
      <c r="K667" s="200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92"/>
      <c r="B668" s="21"/>
      <c r="C668" s="21"/>
      <c r="D668" s="142"/>
      <c r="E668" s="109"/>
      <c r="F668" s="22"/>
      <c r="G668" s="240"/>
      <c r="H668" s="180"/>
      <c r="I668" s="21"/>
      <c r="J668" s="21"/>
      <c r="K668" s="200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92"/>
      <c r="B669" s="21"/>
      <c r="C669" s="21"/>
      <c r="D669" s="142"/>
      <c r="E669" s="109"/>
      <c r="F669" s="22"/>
      <c r="G669" s="240"/>
      <c r="H669" s="180"/>
      <c r="I669" s="21"/>
      <c r="J669" s="21"/>
      <c r="K669" s="200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92"/>
      <c r="B670" s="21"/>
      <c r="C670" s="21"/>
      <c r="D670" s="142"/>
      <c r="E670" s="109"/>
      <c r="F670" s="22"/>
      <c r="G670" s="240"/>
      <c r="H670" s="180"/>
      <c r="I670" s="21"/>
      <c r="J670" s="21"/>
      <c r="K670" s="200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92"/>
      <c r="B671" s="21"/>
      <c r="C671" s="21"/>
      <c r="D671" s="142"/>
      <c r="E671" s="109"/>
      <c r="F671" s="22"/>
      <c r="G671" s="240"/>
      <c r="H671" s="180"/>
      <c r="I671" s="21"/>
      <c r="J671" s="21"/>
      <c r="K671" s="200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92"/>
      <c r="B672" s="21"/>
      <c r="C672" s="21"/>
      <c r="D672" s="142"/>
      <c r="E672" s="109"/>
      <c r="F672" s="22"/>
      <c r="G672" s="240"/>
      <c r="H672" s="180"/>
      <c r="I672" s="21"/>
      <c r="J672" s="21"/>
      <c r="K672" s="200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92"/>
      <c r="B673" s="21"/>
      <c r="C673" s="21"/>
      <c r="D673" s="142"/>
      <c r="E673" s="109"/>
      <c r="F673" s="22"/>
      <c r="G673" s="240"/>
      <c r="H673" s="180"/>
      <c r="I673" s="21"/>
      <c r="J673" s="21"/>
      <c r="K673" s="200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92"/>
      <c r="B674" s="21"/>
      <c r="C674" s="21"/>
      <c r="D674" s="142"/>
      <c r="E674" s="109"/>
      <c r="F674" s="22"/>
      <c r="G674" s="240"/>
      <c r="H674" s="180"/>
      <c r="I674" s="21"/>
      <c r="J674" s="21"/>
      <c r="K674" s="200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92"/>
      <c r="B675" s="21"/>
      <c r="C675" s="21"/>
      <c r="D675" s="142"/>
      <c r="E675" s="109"/>
      <c r="F675" s="22"/>
      <c r="G675" s="240"/>
      <c r="H675" s="180"/>
      <c r="I675" s="21"/>
      <c r="J675" s="21"/>
      <c r="K675" s="200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92"/>
      <c r="B676" s="21"/>
      <c r="C676" s="21"/>
      <c r="D676" s="142"/>
      <c r="E676" s="109"/>
      <c r="F676" s="22"/>
      <c r="G676" s="240"/>
      <c r="H676" s="180"/>
      <c r="I676" s="21"/>
      <c r="J676" s="21"/>
      <c r="K676" s="200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92"/>
      <c r="B677" s="21"/>
      <c r="C677" s="21"/>
      <c r="D677" s="142"/>
      <c r="E677" s="109"/>
      <c r="F677" s="22"/>
      <c r="G677" s="240"/>
      <c r="H677" s="180"/>
      <c r="I677" s="21"/>
      <c r="J677" s="21"/>
      <c r="K677" s="200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92"/>
      <c r="B678" s="21"/>
      <c r="C678" s="21"/>
      <c r="D678" s="142"/>
      <c r="E678" s="109"/>
      <c r="F678" s="22"/>
      <c r="G678" s="240"/>
      <c r="H678" s="180"/>
      <c r="I678" s="21"/>
      <c r="J678" s="21"/>
      <c r="K678" s="200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92"/>
      <c r="B679" s="21"/>
      <c r="C679" s="21"/>
      <c r="D679" s="142"/>
      <c r="E679" s="109"/>
      <c r="F679" s="22"/>
      <c r="G679" s="240"/>
      <c r="H679" s="180"/>
      <c r="I679" s="21"/>
      <c r="J679" s="21"/>
      <c r="K679" s="200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92"/>
      <c r="B680" s="21"/>
      <c r="C680" s="21"/>
      <c r="D680" s="142"/>
      <c r="E680" s="109"/>
      <c r="F680" s="22"/>
      <c r="G680" s="240"/>
      <c r="H680" s="180"/>
      <c r="I680" s="21"/>
      <c r="J680" s="21"/>
      <c r="K680" s="200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92"/>
      <c r="B681" s="21"/>
      <c r="C681" s="21"/>
      <c r="D681" s="142"/>
      <c r="E681" s="109"/>
      <c r="F681" s="22"/>
      <c r="G681" s="240"/>
      <c r="H681" s="180"/>
      <c r="I681" s="21"/>
      <c r="J681" s="21"/>
      <c r="K681" s="200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92"/>
      <c r="B682" s="21"/>
      <c r="C682" s="21"/>
      <c r="D682" s="142"/>
      <c r="E682" s="109"/>
      <c r="F682" s="22"/>
      <c r="G682" s="240"/>
      <c r="H682" s="180"/>
      <c r="I682" s="21"/>
      <c r="J682" s="21"/>
      <c r="K682" s="200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92"/>
      <c r="B683" s="21"/>
      <c r="C683" s="21"/>
      <c r="D683" s="142"/>
      <c r="E683" s="109"/>
      <c r="F683" s="22"/>
      <c r="G683" s="240"/>
      <c r="H683" s="180"/>
      <c r="I683" s="21"/>
      <c r="J683" s="21"/>
      <c r="K683" s="200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92"/>
      <c r="B684" s="21"/>
      <c r="C684" s="21"/>
      <c r="D684" s="142"/>
      <c r="E684" s="109"/>
      <c r="F684" s="22"/>
      <c r="G684" s="240"/>
      <c r="H684" s="180"/>
      <c r="I684" s="21"/>
      <c r="J684" s="21"/>
      <c r="K684" s="200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92"/>
      <c r="B685" s="21"/>
      <c r="C685" s="21"/>
      <c r="D685" s="142"/>
      <c r="E685" s="109"/>
      <c r="F685" s="22"/>
      <c r="G685" s="240"/>
      <c r="H685" s="180"/>
      <c r="I685" s="21"/>
      <c r="J685" s="21"/>
      <c r="K685" s="200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92"/>
      <c r="B686" s="21"/>
      <c r="C686" s="21"/>
      <c r="D686" s="142"/>
      <c r="E686" s="109"/>
      <c r="F686" s="22"/>
      <c r="G686" s="240"/>
      <c r="H686" s="180"/>
      <c r="I686" s="21"/>
      <c r="J686" s="21"/>
      <c r="K686" s="200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92"/>
      <c r="B687" s="21"/>
      <c r="C687" s="21"/>
      <c r="D687" s="142"/>
      <c r="E687" s="109"/>
      <c r="F687" s="22"/>
      <c r="G687" s="240"/>
      <c r="H687" s="180"/>
      <c r="I687" s="21"/>
      <c r="J687" s="21"/>
      <c r="K687" s="200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92"/>
      <c r="B688" s="21"/>
      <c r="C688" s="21"/>
      <c r="D688" s="142"/>
      <c r="E688" s="109"/>
      <c r="F688" s="22"/>
      <c r="G688" s="240"/>
      <c r="H688" s="180"/>
      <c r="I688" s="21"/>
      <c r="J688" s="21"/>
      <c r="K688" s="200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92"/>
      <c r="B689" s="21"/>
      <c r="C689" s="21"/>
      <c r="D689" s="142"/>
      <c r="E689" s="109"/>
      <c r="F689" s="22"/>
      <c r="G689" s="240"/>
      <c r="H689" s="180"/>
      <c r="I689" s="21"/>
      <c r="J689" s="21"/>
      <c r="K689" s="200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92"/>
      <c r="B690" s="21"/>
      <c r="C690" s="21"/>
      <c r="D690" s="142"/>
      <c r="E690" s="109"/>
      <c r="F690" s="22"/>
      <c r="G690" s="240"/>
      <c r="H690" s="180"/>
      <c r="I690" s="21"/>
      <c r="J690" s="21"/>
      <c r="K690" s="200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92"/>
      <c r="B691" s="21"/>
      <c r="C691" s="21"/>
      <c r="D691" s="142"/>
      <c r="E691" s="109"/>
      <c r="F691" s="22"/>
      <c r="G691" s="240"/>
      <c r="H691" s="180"/>
      <c r="I691" s="21"/>
      <c r="J691" s="21"/>
      <c r="K691" s="200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92"/>
      <c r="B692" s="21"/>
      <c r="C692" s="21"/>
      <c r="D692" s="142"/>
      <c r="E692" s="109"/>
      <c r="F692" s="22"/>
      <c r="G692" s="240"/>
      <c r="H692" s="180"/>
      <c r="I692" s="21"/>
      <c r="J692" s="21"/>
      <c r="K692" s="200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92"/>
      <c r="B693" s="21"/>
      <c r="C693" s="21"/>
      <c r="D693" s="142"/>
      <c r="E693" s="109"/>
      <c r="F693" s="22"/>
      <c r="G693" s="240"/>
      <c r="H693" s="180"/>
      <c r="I693" s="21"/>
      <c r="J693" s="21"/>
      <c r="K693" s="200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92"/>
      <c r="B694" s="21"/>
      <c r="C694" s="21"/>
      <c r="D694" s="142"/>
      <c r="E694" s="109"/>
      <c r="F694" s="22"/>
      <c r="G694" s="240"/>
      <c r="H694" s="180"/>
      <c r="I694" s="21"/>
      <c r="J694" s="21"/>
      <c r="K694" s="200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92"/>
      <c r="B695" s="21"/>
      <c r="C695" s="21"/>
      <c r="D695" s="142"/>
      <c r="E695" s="109"/>
      <c r="F695" s="22"/>
      <c r="G695" s="240"/>
      <c r="H695" s="180"/>
      <c r="I695" s="21"/>
      <c r="J695" s="21"/>
      <c r="K695" s="200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92"/>
      <c r="B696" s="21"/>
      <c r="C696" s="21"/>
      <c r="D696" s="142"/>
      <c r="E696" s="109"/>
      <c r="F696" s="22"/>
      <c r="G696" s="240"/>
      <c r="H696" s="180"/>
      <c r="I696" s="21"/>
      <c r="J696" s="21"/>
      <c r="K696" s="200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92"/>
      <c r="B697" s="21"/>
      <c r="C697" s="21"/>
      <c r="D697" s="142"/>
      <c r="E697" s="109"/>
      <c r="F697" s="22"/>
      <c r="G697" s="240"/>
      <c r="H697" s="180"/>
      <c r="I697" s="21"/>
      <c r="J697" s="21"/>
      <c r="K697" s="200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92"/>
      <c r="B698" s="21"/>
      <c r="C698" s="21"/>
      <c r="D698" s="142"/>
      <c r="E698" s="109"/>
      <c r="F698" s="22"/>
      <c r="G698" s="240"/>
      <c r="H698" s="180"/>
      <c r="I698" s="21"/>
      <c r="J698" s="21"/>
      <c r="K698" s="200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92"/>
      <c r="B699" s="21"/>
      <c r="C699" s="21"/>
      <c r="D699" s="142"/>
      <c r="E699" s="109"/>
      <c r="F699" s="22"/>
      <c r="G699" s="240"/>
      <c r="H699" s="180"/>
      <c r="I699" s="21"/>
      <c r="J699" s="21"/>
      <c r="K699" s="200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92"/>
      <c r="B700" s="21"/>
      <c r="C700" s="21"/>
      <c r="D700" s="142"/>
      <c r="E700" s="109"/>
      <c r="F700" s="22"/>
      <c r="G700" s="240"/>
      <c r="H700" s="180"/>
      <c r="I700" s="21"/>
      <c r="J700" s="21"/>
      <c r="K700" s="200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92"/>
      <c r="B701" s="21"/>
      <c r="C701" s="21"/>
      <c r="D701" s="142"/>
      <c r="E701" s="109"/>
      <c r="F701" s="22"/>
      <c r="G701" s="240"/>
      <c r="H701" s="180"/>
      <c r="I701" s="21"/>
      <c r="J701" s="21"/>
      <c r="K701" s="200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92"/>
      <c r="B702" s="21"/>
      <c r="C702" s="21"/>
      <c r="D702" s="142"/>
      <c r="E702" s="109"/>
      <c r="F702" s="22"/>
      <c r="G702" s="240"/>
      <c r="H702" s="180"/>
      <c r="I702" s="21"/>
      <c r="J702" s="21"/>
      <c r="K702" s="200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92"/>
      <c r="B703" s="21"/>
      <c r="C703" s="21"/>
      <c r="D703" s="142"/>
      <c r="E703" s="109"/>
      <c r="F703" s="22"/>
      <c r="G703" s="240"/>
      <c r="H703" s="180"/>
      <c r="I703" s="21"/>
      <c r="J703" s="21"/>
      <c r="K703" s="200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92"/>
      <c r="B704" s="21"/>
      <c r="C704" s="21"/>
      <c r="D704" s="142"/>
      <c r="E704" s="109"/>
      <c r="F704" s="22"/>
      <c r="G704" s="240"/>
      <c r="H704" s="180"/>
      <c r="I704" s="21"/>
      <c r="J704" s="21"/>
      <c r="K704" s="200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92"/>
      <c r="B705" s="21"/>
      <c r="C705" s="21"/>
      <c r="D705" s="142"/>
      <c r="E705" s="109"/>
      <c r="F705" s="22"/>
      <c r="G705" s="240"/>
      <c r="H705" s="180"/>
      <c r="I705" s="21"/>
      <c r="J705" s="21"/>
      <c r="K705" s="200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92"/>
      <c r="B706" s="21"/>
      <c r="C706" s="21"/>
      <c r="D706" s="142"/>
      <c r="E706" s="109"/>
      <c r="F706" s="22"/>
      <c r="G706" s="240"/>
      <c r="H706" s="180"/>
      <c r="I706" s="21"/>
      <c r="J706" s="21"/>
      <c r="K706" s="200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92"/>
      <c r="B707" s="21"/>
      <c r="C707" s="21"/>
      <c r="D707" s="142"/>
      <c r="E707" s="109"/>
      <c r="F707" s="22"/>
      <c r="G707" s="240"/>
      <c r="H707" s="180"/>
      <c r="I707" s="21"/>
      <c r="J707" s="21"/>
      <c r="K707" s="200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92"/>
      <c r="B708" s="21"/>
      <c r="C708" s="21"/>
      <c r="D708" s="142"/>
      <c r="E708" s="109"/>
      <c r="F708" s="22"/>
      <c r="G708" s="240"/>
      <c r="H708" s="180"/>
      <c r="I708" s="21"/>
      <c r="J708" s="21"/>
      <c r="K708" s="200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92"/>
      <c r="B709" s="21"/>
      <c r="C709" s="21"/>
      <c r="D709" s="142"/>
      <c r="E709" s="109"/>
      <c r="F709" s="22"/>
      <c r="G709" s="240"/>
      <c r="H709" s="180"/>
      <c r="I709" s="21"/>
      <c r="J709" s="21"/>
      <c r="K709" s="200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92"/>
      <c r="B710" s="21"/>
      <c r="C710" s="21"/>
      <c r="D710" s="142"/>
      <c r="E710" s="109"/>
      <c r="F710" s="22"/>
      <c r="G710" s="240"/>
      <c r="H710" s="180"/>
      <c r="I710" s="21"/>
      <c r="J710" s="21"/>
      <c r="K710" s="200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92"/>
      <c r="B711" s="21"/>
      <c r="C711" s="21"/>
      <c r="D711" s="142"/>
      <c r="E711" s="109"/>
      <c r="F711" s="22"/>
      <c r="G711" s="240"/>
      <c r="H711" s="180"/>
      <c r="I711" s="21"/>
      <c r="J711" s="21"/>
      <c r="K711" s="200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92"/>
      <c r="B712" s="21"/>
      <c r="C712" s="21"/>
      <c r="D712" s="142"/>
      <c r="E712" s="109"/>
      <c r="F712" s="22"/>
      <c r="G712" s="240"/>
      <c r="H712" s="180"/>
      <c r="I712" s="21"/>
      <c r="J712" s="21"/>
      <c r="K712" s="200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92"/>
      <c r="B713" s="21"/>
      <c r="C713" s="21"/>
      <c r="D713" s="142"/>
      <c r="E713" s="109"/>
      <c r="F713" s="22"/>
      <c r="G713" s="240"/>
      <c r="H713" s="180"/>
      <c r="I713" s="21"/>
      <c r="J713" s="21"/>
      <c r="K713" s="200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92"/>
      <c r="B714" s="21"/>
      <c r="C714" s="21"/>
      <c r="D714" s="142"/>
      <c r="E714" s="109"/>
      <c r="F714" s="22"/>
      <c r="G714" s="240"/>
      <c r="H714" s="180"/>
      <c r="I714" s="21"/>
      <c r="J714" s="21"/>
      <c r="K714" s="200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92"/>
      <c r="B715" s="21"/>
      <c r="C715" s="21"/>
      <c r="D715" s="142"/>
      <c r="E715" s="109"/>
      <c r="F715" s="22"/>
      <c r="G715" s="240"/>
      <c r="H715" s="180"/>
      <c r="I715" s="21"/>
      <c r="J715" s="21"/>
      <c r="K715" s="200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92"/>
      <c r="B716" s="21"/>
      <c r="C716" s="21"/>
      <c r="D716" s="142"/>
      <c r="E716" s="109"/>
      <c r="F716" s="22"/>
      <c r="G716" s="240"/>
      <c r="H716" s="180"/>
      <c r="I716" s="21"/>
      <c r="J716" s="21"/>
      <c r="K716" s="200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92"/>
      <c r="B717" s="21"/>
      <c r="C717" s="21"/>
      <c r="D717" s="142"/>
      <c r="E717" s="109"/>
      <c r="F717" s="22"/>
      <c r="G717" s="240"/>
      <c r="H717" s="180"/>
      <c r="I717" s="21"/>
      <c r="J717" s="21"/>
      <c r="K717" s="200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92"/>
      <c r="B718" s="21"/>
      <c r="C718" s="21"/>
      <c r="D718" s="142"/>
      <c r="E718" s="109"/>
      <c r="F718" s="22"/>
      <c r="G718" s="240"/>
      <c r="H718" s="180"/>
      <c r="I718" s="21"/>
      <c r="J718" s="21"/>
      <c r="K718" s="200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92"/>
      <c r="B719" s="21"/>
      <c r="C719" s="21"/>
      <c r="D719" s="142"/>
      <c r="E719" s="109"/>
      <c r="F719" s="22"/>
      <c r="G719" s="240"/>
      <c r="H719" s="180"/>
      <c r="I719" s="21"/>
      <c r="J719" s="21"/>
      <c r="K719" s="200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92"/>
      <c r="B720" s="21"/>
      <c r="C720" s="21"/>
      <c r="D720" s="142"/>
      <c r="E720" s="109"/>
      <c r="F720" s="22"/>
      <c r="G720" s="240"/>
      <c r="H720" s="180"/>
      <c r="I720" s="21"/>
      <c r="J720" s="21"/>
      <c r="K720" s="200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92"/>
      <c r="B721" s="21"/>
      <c r="C721" s="21"/>
      <c r="D721" s="142"/>
      <c r="E721" s="109"/>
      <c r="F721" s="22"/>
      <c r="G721" s="240"/>
      <c r="H721" s="180"/>
      <c r="I721" s="21"/>
      <c r="J721" s="21"/>
      <c r="K721" s="200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92"/>
      <c r="B722" s="21"/>
      <c r="C722" s="21"/>
      <c r="D722" s="142"/>
      <c r="E722" s="109"/>
      <c r="F722" s="22"/>
      <c r="G722" s="240"/>
      <c r="H722" s="180"/>
      <c r="I722" s="21"/>
      <c r="J722" s="21"/>
      <c r="K722" s="200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92"/>
      <c r="B723" s="21"/>
      <c r="C723" s="21"/>
      <c r="D723" s="142"/>
      <c r="E723" s="109"/>
      <c r="F723" s="22"/>
      <c r="G723" s="240"/>
      <c r="H723" s="180"/>
      <c r="I723" s="21"/>
      <c r="J723" s="21"/>
      <c r="K723" s="200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92"/>
      <c r="B724" s="21"/>
      <c r="C724" s="21"/>
      <c r="D724" s="142"/>
      <c r="E724" s="109"/>
      <c r="F724" s="22"/>
      <c r="G724" s="240"/>
      <c r="H724" s="180"/>
      <c r="I724" s="21"/>
      <c r="J724" s="21"/>
      <c r="K724" s="200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92"/>
      <c r="B725" s="21"/>
      <c r="C725" s="21"/>
      <c r="D725" s="142"/>
      <c r="E725" s="109"/>
      <c r="F725" s="22"/>
      <c r="G725" s="240"/>
      <c r="H725" s="180"/>
      <c r="I725" s="21"/>
      <c r="J725" s="21"/>
      <c r="K725" s="200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92"/>
      <c r="B726" s="21"/>
      <c r="C726" s="21"/>
      <c r="D726" s="142"/>
      <c r="E726" s="109"/>
      <c r="F726" s="22"/>
      <c r="G726" s="240"/>
      <c r="H726" s="180"/>
      <c r="I726" s="21"/>
      <c r="J726" s="21"/>
      <c r="K726" s="200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92"/>
      <c r="B727" s="21"/>
      <c r="C727" s="21"/>
      <c r="D727" s="142"/>
      <c r="E727" s="109"/>
      <c r="F727" s="22"/>
      <c r="G727" s="240"/>
      <c r="H727" s="180"/>
      <c r="I727" s="21"/>
      <c r="J727" s="21"/>
      <c r="K727" s="200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92"/>
      <c r="B728" s="21"/>
      <c r="C728" s="21"/>
      <c r="D728" s="142"/>
      <c r="E728" s="109"/>
      <c r="F728" s="22"/>
      <c r="G728" s="240"/>
      <c r="H728" s="180"/>
      <c r="I728" s="21"/>
      <c r="J728" s="21"/>
      <c r="K728" s="200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92"/>
      <c r="B729" s="21"/>
      <c r="C729" s="21"/>
      <c r="D729" s="142"/>
      <c r="E729" s="109"/>
      <c r="F729" s="22"/>
      <c r="G729" s="240"/>
      <c r="H729" s="180"/>
      <c r="I729" s="21"/>
      <c r="J729" s="21"/>
      <c r="K729" s="200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92"/>
      <c r="B730" s="21"/>
      <c r="C730" s="21"/>
      <c r="D730" s="142"/>
      <c r="E730" s="109"/>
      <c r="F730" s="22"/>
      <c r="G730" s="240"/>
      <c r="H730" s="180"/>
      <c r="I730" s="21"/>
      <c r="J730" s="21"/>
      <c r="K730" s="200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92"/>
      <c r="B731" s="21"/>
      <c r="C731" s="21"/>
      <c r="D731" s="142"/>
      <c r="E731" s="109"/>
      <c r="F731" s="22"/>
      <c r="G731" s="240"/>
      <c r="H731" s="180"/>
      <c r="I731" s="21"/>
      <c r="J731" s="21"/>
      <c r="K731" s="200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92"/>
      <c r="B732" s="21"/>
      <c r="C732" s="21"/>
      <c r="D732" s="142"/>
      <c r="E732" s="109"/>
      <c r="F732" s="22"/>
      <c r="G732" s="240"/>
      <c r="H732" s="180"/>
      <c r="I732" s="21"/>
      <c r="J732" s="21"/>
      <c r="K732" s="200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92"/>
      <c r="B733" s="21"/>
      <c r="C733" s="21"/>
      <c r="D733" s="142"/>
      <c r="E733" s="109"/>
      <c r="F733" s="22"/>
      <c r="G733" s="240"/>
      <c r="H733" s="180"/>
      <c r="I733" s="21"/>
      <c r="J733" s="21"/>
      <c r="K733" s="200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92"/>
      <c r="B734" s="21"/>
      <c r="C734" s="21"/>
      <c r="D734" s="142"/>
      <c r="E734" s="109"/>
      <c r="F734" s="22"/>
      <c r="G734" s="240"/>
      <c r="H734" s="180"/>
      <c r="I734" s="21"/>
      <c r="J734" s="21"/>
      <c r="K734" s="200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92"/>
      <c r="B735" s="21"/>
      <c r="C735" s="21"/>
      <c r="D735" s="142"/>
      <c r="E735" s="109"/>
      <c r="F735" s="22"/>
      <c r="G735" s="240"/>
      <c r="H735" s="180"/>
      <c r="I735" s="21"/>
      <c r="J735" s="21"/>
      <c r="K735" s="200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92"/>
      <c r="B736" s="21"/>
      <c r="C736" s="21"/>
      <c r="D736" s="142"/>
      <c r="E736" s="109"/>
      <c r="F736" s="22"/>
      <c r="G736" s="240"/>
      <c r="H736" s="180"/>
      <c r="I736" s="21"/>
      <c r="J736" s="21"/>
      <c r="K736" s="200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92"/>
      <c r="B737" s="21"/>
      <c r="C737" s="21"/>
      <c r="D737" s="142"/>
      <c r="E737" s="109"/>
      <c r="F737" s="22"/>
      <c r="G737" s="240"/>
      <c r="H737" s="180"/>
      <c r="I737" s="21"/>
      <c r="J737" s="21"/>
      <c r="K737" s="200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92"/>
      <c r="B738" s="21"/>
      <c r="C738" s="21"/>
      <c r="D738" s="142"/>
      <c r="E738" s="109"/>
      <c r="F738" s="22"/>
      <c r="G738" s="240"/>
      <c r="H738" s="180"/>
      <c r="I738" s="21"/>
      <c r="J738" s="21"/>
      <c r="K738" s="200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92"/>
      <c r="B739" s="21"/>
      <c r="C739" s="21"/>
      <c r="D739" s="142"/>
      <c r="E739" s="109"/>
      <c r="F739" s="22"/>
      <c r="G739" s="240"/>
      <c r="H739" s="180"/>
      <c r="I739" s="21"/>
      <c r="J739" s="21"/>
      <c r="K739" s="200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92"/>
      <c r="B740" s="21"/>
      <c r="C740" s="21"/>
      <c r="D740" s="142"/>
      <c r="E740" s="109"/>
      <c r="F740" s="22"/>
      <c r="G740" s="240"/>
      <c r="H740" s="180"/>
      <c r="I740" s="21"/>
      <c r="J740" s="21"/>
      <c r="K740" s="200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92"/>
      <c r="B741" s="21"/>
      <c r="C741" s="21"/>
      <c r="D741" s="142"/>
      <c r="E741" s="109"/>
      <c r="F741" s="22"/>
      <c r="G741" s="240"/>
      <c r="H741" s="180"/>
      <c r="I741" s="21"/>
      <c r="J741" s="21"/>
      <c r="K741" s="200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92"/>
      <c r="B742" s="21"/>
      <c r="C742" s="21"/>
      <c r="D742" s="142"/>
      <c r="E742" s="109"/>
      <c r="F742" s="22"/>
      <c r="G742" s="240"/>
      <c r="H742" s="180"/>
      <c r="I742" s="21"/>
      <c r="J742" s="21"/>
      <c r="K742" s="200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92"/>
      <c r="B743" s="21"/>
      <c r="C743" s="21"/>
      <c r="D743" s="142"/>
      <c r="E743" s="109"/>
      <c r="F743" s="22"/>
      <c r="G743" s="240"/>
      <c r="H743" s="180"/>
      <c r="I743" s="21"/>
      <c r="J743" s="21"/>
      <c r="K743" s="200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92"/>
      <c r="B744" s="21"/>
      <c r="C744" s="21"/>
      <c r="D744" s="142"/>
      <c r="E744" s="109"/>
      <c r="F744" s="22"/>
      <c r="G744" s="240"/>
      <c r="H744" s="180"/>
      <c r="I744" s="21"/>
      <c r="J744" s="21"/>
      <c r="K744" s="200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92"/>
      <c r="B745" s="21"/>
      <c r="C745" s="21"/>
      <c r="D745" s="142"/>
      <c r="E745" s="109"/>
      <c r="F745" s="22"/>
      <c r="G745" s="240"/>
      <c r="H745" s="180"/>
      <c r="I745" s="21"/>
      <c r="J745" s="21"/>
      <c r="K745" s="200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92"/>
      <c r="B746" s="21"/>
      <c r="C746" s="21"/>
      <c r="D746" s="142"/>
      <c r="E746" s="109"/>
      <c r="F746" s="22"/>
      <c r="G746" s="240"/>
      <c r="H746" s="180"/>
      <c r="I746" s="21"/>
      <c r="J746" s="21"/>
      <c r="K746" s="200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92"/>
      <c r="B747" s="21"/>
      <c r="C747" s="21"/>
      <c r="D747" s="142"/>
      <c r="E747" s="109"/>
      <c r="F747" s="22"/>
      <c r="G747" s="240"/>
      <c r="H747" s="180"/>
      <c r="I747" s="21"/>
      <c r="J747" s="21"/>
      <c r="K747" s="200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92"/>
      <c r="B748" s="21"/>
      <c r="C748" s="21"/>
      <c r="D748" s="142"/>
      <c r="E748" s="109"/>
      <c r="F748" s="22"/>
      <c r="G748" s="240"/>
      <c r="H748" s="180"/>
      <c r="I748" s="21"/>
      <c r="J748" s="21"/>
      <c r="K748" s="200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92"/>
      <c r="B749" s="21"/>
      <c r="C749" s="21"/>
      <c r="D749" s="142"/>
      <c r="E749" s="109"/>
      <c r="F749" s="22"/>
      <c r="G749" s="240"/>
      <c r="H749" s="180"/>
      <c r="I749" s="21"/>
      <c r="J749" s="21"/>
      <c r="K749" s="200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92"/>
      <c r="B750" s="21"/>
      <c r="C750" s="21"/>
      <c r="D750" s="142"/>
      <c r="E750" s="109"/>
      <c r="F750" s="22"/>
      <c r="G750" s="240"/>
      <c r="H750" s="180"/>
      <c r="I750" s="21"/>
      <c r="J750" s="21"/>
      <c r="K750" s="200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92"/>
      <c r="B751" s="21"/>
      <c r="C751" s="21"/>
      <c r="D751" s="142"/>
      <c r="E751" s="109"/>
      <c r="F751" s="22"/>
      <c r="G751" s="240"/>
      <c r="H751" s="180"/>
      <c r="I751" s="21"/>
      <c r="J751" s="21"/>
      <c r="K751" s="200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92"/>
      <c r="B752" s="21"/>
      <c r="C752" s="21"/>
      <c r="D752" s="142"/>
      <c r="E752" s="109"/>
      <c r="F752" s="22"/>
      <c r="G752" s="240"/>
      <c r="H752" s="180"/>
      <c r="I752" s="21"/>
      <c r="J752" s="21"/>
      <c r="K752" s="200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92"/>
      <c r="B753" s="21"/>
      <c r="C753" s="21"/>
      <c r="D753" s="142"/>
      <c r="E753" s="109"/>
      <c r="F753" s="22"/>
      <c r="G753" s="240"/>
      <c r="H753" s="180"/>
      <c r="I753" s="21"/>
      <c r="J753" s="21"/>
      <c r="K753" s="200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92"/>
      <c r="B754" s="21"/>
      <c r="C754" s="21"/>
      <c r="D754" s="142"/>
      <c r="E754" s="109"/>
      <c r="F754" s="22"/>
      <c r="G754" s="240"/>
      <c r="H754" s="180"/>
      <c r="I754" s="21"/>
      <c r="J754" s="21"/>
      <c r="K754" s="200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92"/>
      <c r="B755" s="21"/>
      <c r="C755" s="21"/>
      <c r="D755" s="142"/>
      <c r="E755" s="109"/>
      <c r="F755" s="22"/>
      <c r="G755" s="240"/>
      <c r="H755" s="180"/>
      <c r="I755" s="21"/>
      <c r="J755" s="21"/>
      <c r="K755" s="200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92"/>
      <c r="B756" s="21"/>
      <c r="C756" s="21"/>
      <c r="D756" s="142"/>
      <c r="E756" s="109"/>
      <c r="F756" s="22"/>
      <c r="G756" s="240"/>
      <c r="H756" s="180"/>
      <c r="I756" s="21"/>
      <c r="J756" s="21"/>
      <c r="K756" s="200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92"/>
      <c r="B757" s="21"/>
      <c r="C757" s="21"/>
      <c r="D757" s="142"/>
      <c r="E757" s="109"/>
      <c r="F757" s="22"/>
      <c r="G757" s="240"/>
      <c r="H757" s="180"/>
      <c r="I757" s="21"/>
      <c r="J757" s="21"/>
      <c r="K757" s="200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92"/>
      <c r="B758" s="21"/>
      <c r="C758" s="21"/>
      <c r="D758" s="142"/>
      <c r="E758" s="109"/>
      <c r="F758" s="22"/>
      <c r="G758" s="240"/>
      <c r="H758" s="180"/>
      <c r="I758" s="21"/>
      <c r="J758" s="21"/>
      <c r="K758" s="200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92"/>
      <c r="B759" s="21"/>
      <c r="C759" s="21"/>
      <c r="D759" s="142"/>
      <c r="E759" s="109"/>
      <c r="F759" s="22"/>
      <c r="G759" s="240"/>
      <c r="H759" s="180"/>
      <c r="I759" s="21"/>
      <c r="J759" s="21"/>
      <c r="K759" s="200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92"/>
      <c r="B760" s="21"/>
      <c r="C760" s="21"/>
      <c r="D760" s="142"/>
      <c r="E760" s="109"/>
      <c r="F760" s="22"/>
      <c r="G760" s="240"/>
      <c r="H760" s="180"/>
      <c r="I760" s="21"/>
      <c r="J760" s="21"/>
      <c r="K760" s="200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92"/>
      <c r="B761" s="21"/>
      <c r="C761" s="21"/>
      <c r="D761" s="142"/>
      <c r="E761" s="109"/>
      <c r="F761" s="22"/>
      <c r="G761" s="240"/>
      <c r="H761" s="180"/>
      <c r="I761" s="21"/>
      <c r="J761" s="21"/>
      <c r="K761" s="200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92"/>
      <c r="B762" s="21"/>
      <c r="C762" s="21"/>
      <c r="D762" s="142"/>
      <c r="E762" s="109"/>
      <c r="F762" s="22"/>
      <c r="G762" s="240"/>
      <c r="H762" s="180"/>
      <c r="I762" s="21"/>
      <c r="J762" s="21"/>
      <c r="K762" s="200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92"/>
      <c r="B763" s="21"/>
      <c r="C763" s="21"/>
      <c r="D763" s="142"/>
      <c r="E763" s="109"/>
      <c r="F763" s="22"/>
      <c r="G763" s="240"/>
      <c r="H763" s="180"/>
      <c r="I763" s="21"/>
      <c r="J763" s="21"/>
      <c r="K763" s="200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92"/>
      <c r="B764" s="21"/>
      <c r="C764" s="21"/>
      <c r="D764" s="142"/>
      <c r="E764" s="109"/>
      <c r="F764" s="22"/>
      <c r="G764" s="240"/>
      <c r="H764" s="180"/>
      <c r="I764" s="21"/>
      <c r="J764" s="21"/>
      <c r="K764" s="200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92"/>
      <c r="B765" s="21"/>
      <c r="C765" s="21"/>
      <c r="D765" s="142"/>
      <c r="E765" s="109"/>
      <c r="F765" s="22"/>
      <c r="G765" s="240"/>
      <c r="H765" s="180"/>
      <c r="I765" s="21"/>
      <c r="J765" s="21"/>
      <c r="K765" s="200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92"/>
      <c r="B766" s="21"/>
      <c r="C766" s="21"/>
      <c r="D766" s="142"/>
      <c r="E766" s="109"/>
      <c r="F766" s="22"/>
      <c r="G766" s="240"/>
      <c r="H766" s="180"/>
      <c r="I766" s="21"/>
      <c r="J766" s="21"/>
      <c r="K766" s="200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92"/>
      <c r="B767" s="21"/>
      <c r="C767" s="21"/>
      <c r="D767" s="142"/>
      <c r="E767" s="109"/>
      <c r="F767" s="22"/>
      <c r="G767" s="240"/>
      <c r="H767" s="180"/>
      <c r="I767" s="21"/>
      <c r="J767" s="21"/>
      <c r="K767" s="200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92"/>
      <c r="B768" s="21"/>
      <c r="C768" s="21"/>
      <c r="D768" s="142"/>
      <c r="E768" s="109"/>
      <c r="F768" s="22"/>
      <c r="G768" s="240"/>
      <c r="H768" s="180"/>
      <c r="I768" s="21"/>
      <c r="J768" s="21"/>
      <c r="K768" s="200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92"/>
      <c r="B769" s="21"/>
      <c r="C769" s="21"/>
      <c r="D769" s="142"/>
      <c r="E769" s="109"/>
      <c r="F769" s="22"/>
      <c r="G769" s="240"/>
      <c r="H769" s="180"/>
      <c r="I769" s="21"/>
      <c r="J769" s="21"/>
      <c r="K769" s="200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92"/>
      <c r="B770" s="21"/>
      <c r="C770" s="21"/>
      <c r="D770" s="142"/>
      <c r="E770" s="109"/>
      <c r="F770" s="22"/>
      <c r="G770" s="240"/>
      <c r="H770" s="180"/>
      <c r="I770" s="21"/>
      <c r="J770" s="21"/>
      <c r="K770" s="200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92"/>
      <c r="B771" s="21"/>
      <c r="C771" s="21"/>
      <c r="D771" s="142"/>
      <c r="E771" s="109"/>
      <c r="F771" s="22"/>
      <c r="G771" s="240"/>
      <c r="H771" s="180"/>
      <c r="I771" s="21"/>
      <c r="J771" s="21"/>
      <c r="K771" s="200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92"/>
      <c r="B772" s="21"/>
      <c r="C772" s="21"/>
      <c r="D772" s="142"/>
      <c r="E772" s="109"/>
      <c r="F772" s="22"/>
      <c r="G772" s="240"/>
      <c r="H772" s="180"/>
      <c r="I772" s="21"/>
      <c r="J772" s="21"/>
      <c r="K772" s="200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92"/>
      <c r="B773" s="21"/>
      <c r="C773" s="21"/>
      <c r="D773" s="142"/>
      <c r="E773" s="109"/>
      <c r="F773" s="22"/>
      <c r="G773" s="240"/>
      <c r="H773" s="180"/>
      <c r="I773" s="21"/>
      <c r="J773" s="21"/>
      <c r="K773" s="200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92"/>
      <c r="B774" s="21"/>
      <c r="C774" s="21"/>
      <c r="D774" s="142"/>
      <c r="E774" s="109"/>
      <c r="F774" s="22"/>
      <c r="G774" s="240"/>
      <c r="H774" s="180"/>
      <c r="I774" s="21"/>
      <c r="J774" s="21"/>
      <c r="K774" s="200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92"/>
      <c r="B775" s="21"/>
      <c r="C775" s="21"/>
      <c r="D775" s="142"/>
      <c r="E775" s="109"/>
      <c r="F775" s="22"/>
      <c r="G775" s="240"/>
      <c r="H775" s="180"/>
      <c r="I775" s="21"/>
      <c r="J775" s="21"/>
      <c r="K775" s="200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92"/>
      <c r="B776" s="21"/>
      <c r="C776" s="21"/>
      <c r="D776" s="142"/>
      <c r="E776" s="109"/>
      <c r="F776" s="22"/>
      <c r="G776" s="240"/>
      <c r="H776" s="180"/>
      <c r="I776" s="21"/>
      <c r="J776" s="21"/>
      <c r="K776" s="200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92"/>
      <c r="B777" s="21"/>
      <c r="C777" s="21"/>
      <c r="D777" s="142"/>
      <c r="E777" s="109"/>
      <c r="F777" s="22"/>
      <c r="G777" s="240"/>
      <c r="H777" s="180"/>
      <c r="I777" s="21"/>
      <c r="J777" s="21"/>
      <c r="K777" s="200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92"/>
      <c r="B778" s="21"/>
      <c r="C778" s="21"/>
      <c r="D778" s="142"/>
      <c r="E778" s="109"/>
      <c r="F778" s="22"/>
      <c r="G778" s="240"/>
      <c r="H778" s="180"/>
      <c r="I778" s="21"/>
      <c r="J778" s="21"/>
      <c r="K778" s="200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92"/>
      <c r="B779" s="21"/>
      <c r="C779" s="21"/>
      <c r="D779" s="142"/>
      <c r="E779" s="109"/>
      <c r="F779" s="22"/>
      <c r="G779" s="240"/>
      <c r="H779" s="180"/>
      <c r="I779" s="21"/>
      <c r="J779" s="21"/>
      <c r="K779" s="200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92"/>
      <c r="B780" s="21"/>
      <c r="C780" s="21"/>
      <c r="D780" s="142"/>
      <c r="E780" s="109"/>
      <c r="F780" s="22"/>
      <c r="G780" s="240"/>
      <c r="H780" s="180"/>
      <c r="I780" s="21"/>
      <c r="J780" s="21"/>
      <c r="K780" s="200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92"/>
      <c r="B781" s="21"/>
      <c r="C781" s="21"/>
      <c r="D781" s="142"/>
      <c r="E781" s="109"/>
      <c r="F781" s="22"/>
      <c r="G781" s="240"/>
      <c r="H781" s="180"/>
      <c r="I781" s="21"/>
      <c r="J781" s="21"/>
      <c r="K781" s="200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92"/>
      <c r="B782" s="21"/>
      <c r="C782" s="21"/>
      <c r="D782" s="142"/>
      <c r="E782" s="109"/>
      <c r="F782" s="22"/>
      <c r="G782" s="240"/>
      <c r="H782" s="180"/>
      <c r="I782" s="21"/>
      <c r="J782" s="21"/>
      <c r="K782" s="200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92"/>
      <c r="B783" s="21"/>
      <c r="C783" s="21"/>
      <c r="D783" s="142"/>
      <c r="E783" s="109"/>
      <c r="F783" s="22"/>
      <c r="G783" s="240"/>
      <c r="H783" s="180"/>
      <c r="I783" s="21"/>
      <c r="J783" s="21"/>
      <c r="K783" s="200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92"/>
      <c r="B784" s="21"/>
      <c r="C784" s="21"/>
      <c r="D784" s="142"/>
      <c r="E784" s="109"/>
      <c r="F784" s="22"/>
      <c r="G784" s="240"/>
      <c r="H784" s="180"/>
      <c r="I784" s="21"/>
      <c r="J784" s="21"/>
      <c r="K784" s="200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92"/>
      <c r="B785" s="21"/>
      <c r="C785" s="21"/>
      <c r="D785" s="142"/>
      <c r="E785" s="109"/>
      <c r="F785" s="22"/>
      <c r="G785" s="240"/>
      <c r="H785" s="180"/>
      <c r="I785" s="21"/>
      <c r="J785" s="21"/>
      <c r="K785" s="200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92"/>
      <c r="B786" s="21"/>
      <c r="C786" s="21"/>
      <c r="D786" s="142"/>
      <c r="E786" s="109"/>
      <c r="F786" s="22"/>
      <c r="G786" s="240"/>
      <c r="H786" s="180"/>
      <c r="I786" s="21"/>
      <c r="J786" s="21"/>
      <c r="K786" s="200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92"/>
      <c r="B787" s="21"/>
      <c r="C787" s="21"/>
      <c r="D787" s="142"/>
      <c r="E787" s="109"/>
      <c r="F787" s="22"/>
      <c r="G787" s="240"/>
      <c r="H787" s="180"/>
      <c r="I787" s="21"/>
      <c r="J787" s="21"/>
      <c r="K787" s="200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92"/>
      <c r="B788" s="21"/>
      <c r="C788" s="21"/>
      <c r="D788" s="142"/>
      <c r="E788" s="109"/>
      <c r="F788" s="22"/>
      <c r="G788" s="240"/>
      <c r="H788" s="180"/>
      <c r="I788" s="21"/>
      <c r="J788" s="21"/>
      <c r="K788" s="200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92"/>
      <c r="B789" s="21"/>
      <c r="C789" s="21"/>
      <c r="D789" s="142"/>
      <c r="E789" s="109"/>
      <c r="F789" s="22"/>
      <c r="G789" s="240"/>
      <c r="H789" s="180"/>
      <c r="I789" s="21"/>
      <c r="J789" s="21"/>
      <c r="K789" s="200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92"/>
      <c r="B790" s="21"/>
      <c r="C790" s="21"/>
      <c r="D790" s="142"/>
      <c r="E790" s="109"/>
      <c r="F790" s="22"/>
      <c r="G790" s="240"/>
      <c r="H790" s="180"/>
      <c r="I790" s="21"/>
      <c r="J790" s="21"/>
      <c r="K790" s="200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92"/>
      <c r="B791" s="21"/>
      <c r="C791" s="21"/>
      <c r="D791" s="142"/>
      <c r="E791" s="109"/>
      <c r="F791" s="22"/>
      <c r="G791" s="240"/>
      <c r="H791" s="180"/>
      <c r="I791" s="21"/>
      <c r="J791" s="21"/>
      <c r="K791" s="200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92"/>
      <c r="B792" s="21"/>
      <c r="C792" s="21"/>
      <c r="D792" s="142"/>
      <c r="E792" s="109"/>
      <c r="F792" s="22"/>
      <c r="G792" s="240"/>
      <c r="H792" s="180"/>
      <c r="I792" s="21"/>
      <c r="J792" s="21"/>
      <c r="K792" s="200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92"/>
      <c r="B793" s="21"/>
      <c r="C793" s="21"/>
      <c r="D793" s="142"/>
      <c r="E793" s="109"/>
      <c r="F793" s="22"/>
      <c r="G793" s="240"/>
      <c r="H793" s="180"/>
      <c r="I793" s="21"/>
      <c r="J793" s="21"/>
      <c r="K793" s="200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92"/>
      <c r="B794" s="21"/>
      <c r="C794" s="21"/>
      <c r="D794" s="142"/>
      <c r="E794" s="109"/>
      <c r="F794" s="22"/>
      <c r="G794" s="240"/>
      <c r="H794" s="180"/>
      <c r="I794" s="21"/>
      <c r="J794" s="21"/>
      <c r="K794" s="200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92"/>
      <c r="B795" s="21"/>
      <c r="C795" s="21"/>
      <c r="D795" s="142"/>
      <c r="E795" s="109"/>
      <c r="F795" s="22"/>
      <c r="G795" s="240"/>
      <c r="H795" s="180"/>
      <c r="I795" s="21"/>
      <c r="J795" s="21"/>
      <c r="K795" s="200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92"/>
      <c r="B796" s="21"/>
      <c r="C796" s="21"/>
      <c r="D796" s="142"/>
      <c r="E796" s="109"/>
      <c r="F796" s="22"/>
      <c r="G796" s="240"/>
      <c r="H796" s="180"/>
      <c r="I796" s="21"/>
      <c r="J796" s="21"/>
      <c r="K796" s="200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92"/>
      <c r="B797" s="21"/>
      <c r="C797" s="21"/>
      <c r="D797" s="142"/>
      <c r="E797" s="109"/>
      <c r="F797" s="22"/>
      <c r="G797" s="240"/>
      <c r="H797" s="180"/>
      <c r="I797" s="21"/>
      <c r="J797" s="21"/>
      <c r="K797" s="200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92"/>
      <c r="B798" s="21"/>
      <c r="C798" s="21"/>
      <c r="D798" s="142"/>
      <c r="E798" s="109"/>
      <c r="F798" s="22"/>
      <c r="G798" s="240"/>
      <c r="H798" s="180"/>
      <c r="I798" s="21"/>
      <c r="J798" s="21"/>
      <c r="K798" s="200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92"/>
      <c r="B799" s="21"/>
      <c r="C799" s="21"/>
      <c r="D799" s="142"/>
      <c r="E799" s="109"/>
      <c r="F799" s="22"/>
      <c r="G799" s="240"/>
      <c r="H799" s="180"/>
      <c r="I799" s="21"/>
      <c r="J799" s="21"/>
      <c r="K799" s="200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92"/>
      <c r="B800" s="21"/>
      <c r="C800" s="21"/>
      <c r="D800" s="142"/>
      <c r="E800" s="109"/>
      <c r="F800" s="22"/>
      <c r="G800" s="240"/>
      <c r="H800" s="180"/>
      <c r="I800" s="21"/>
      <c r="J800" s="21"/>
      <c r="K800" s="200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92"/>
      <c r="B801" s="21"/>
      <c r="C801" s="21"/>
      <c r="D801" s="142"/>
      <c r="E801" s="109"/>
      <c r="F801" s="22"/>
      <c r="G801" s="240"/>
      <c r="H801" s="180"/>
      <c r="I801" s="21"/>
      <c r="J801" s="21"/>
      <c r="K801" s="200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92"/>
      <c r="B802" s="21"/>
      <c r="C802" s="21"/>
      <c r="D802" s="142"/>
      <c r="E802" s="109"/>
      <c r="F802" s="22"/>
      <c r="G802" s="240"/>
      <c r="H802" s="180"/>
      <c r="I802" s="21"/>
      <c r="J802" s="21"/>
      <c r="K802" s="200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92"/>
      <c r="B803" s="21"/>
      <c r="C803" s="21"/>
      <c r="D803" s="142"/>
      <c r="E803" s="109"/>
      <c r="F803" s="22"/>
      <c r="G803" s="240"/>
      <c r="H803" s="180"/>
      <c r="I803" s="21"/>
      <c r="J803" s="21"/>
      <c r="K803" s="200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92"/>
      <c r="B804" s="21"/>
      <c r="C804" s="21"/>
      <c r="D804" s="142"/>
      <c r="E804" s="109"/>
      <c r="F804" s="22"/>
      <c r="G804" s="240"/>
      <c r="H804" s="180"/>
      <c r="I804" s="21"/>
      <c r="J804" s="21"/>
      <c r="K804" s="200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92"/>
      <c r="B805" s="21"/>
      <c r="C805" s="21"/>
      <c r="D805" s="142"/>
      <c r="E805" s="109"/>
      <c r="F805" s="22"/>
      <c r="G805" s="240"/>
      <c r="H805" s="180"/>
      <c r="I805" s="21"/>
      <c r="J805" s="21"/>
      <c r="K805" s="200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92"/>
      <c r="B806" s="21"/>
      <c r="C806" s="21"/>
      <c r="D806" s="142"/>
      <c r="E806" s="109"/>
      <c r="F806" s="22"/>
      <c r="G806" s="240"/>
      <c r="H806" s="180"/>
      <c r="I806" s="21"/>
      <c r="J806" s="21"/>
      <c r="K806" s="200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92"/>
      <c r="B807" s="21"/>
      <c r="C807" s="21"/>
      <c r="D807" s="142"/>
      <c r="E807" s="109"/>
      <c r="F807" s="22"/>
      <c r="G807" s="240"/>
      <c r="H807" s="180"/>
      <c r="I807" s="21"/>
      <c r="J807" s="21"/>
      <c r="K807" s="200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92"/>
      <c r="B808" s="21"/>
      <c r="C808" s="21"/>
      <c r="D808" s="142"/>
      <c r="E808" s="109"/>
      <c r="F808" s="22"/>
      <c r="G808" s="240"/>
      <c r="H808" s="180"/>
      <c r="I808" s="21"/>
      <c r="J808" s="21"/>
      <c r="K808" s="200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92"/>
      <c r="B809" s="21"/>
      <c r="C809" s="21"/>
      <c r="D809" s="142"/>
      <c r="E809" s="109"/>
      <c r="F809" s="22"/>
      <c r="G809" s="240"/>
      <c r="H809" s="180"/>
      <c r="I809" s="21"/>
      <c r="J809" s="21"/>
      <c r="K809" s="200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92"/>
      <c r="B810" s="21"/>
      <c r="C810" s="21"/>
      <c r="D810" s="142"/>
      <c r="E810" s="109"/>
      <c r="F810" s="22"/>
      <c r="G810" s="240"/>
      <c r="H810" s="180"/>
      <c r="I810" s="21"/>
      <c r="J810" s="21"/>
      <c r="K810" s="200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92"/>
      <c r="B811" s="21"/>
      <c r="C811" s="21"/>
      <c r="D811" s="142"/>
      <c r="E811" s="109"/>
      <c r="F811" s="22"/>
      <c r="G811" s="240"/>
      <c r="H811" s="180"/>
      <c r="I811" s="21"/>
      <c r="J811" s="21"/>
      <c r="K811" s="200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92"/>
      <c r="B812" s="21"/>
      <c r="C812" s="21"/>
      <c r="D812" s="142"/>
      <c r="E812" s="109"/>
      <c r="F812" s="22"/>
      <c r="G812" s="240"/>
      <c r="H812" s="180"/>
      <c r="I812" s="21"/>
      <c r="J812" s="21"/>
      <c r="K812" s="200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92"/>
      <c r="B813" s="21"/>
      <c r="C813" s="21"/>
      <c r="D813" s="142"/>
      <c r="E813" s="109"/>
      <c r="F813" s="22"/>
      <c r="G813" s="240"/>
      <c r="H813" s="180"/>
      <c r="I813" s="21"/>
      <c r="J813" s="21"/>
      <c r="K813" s="200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92"/>
      <c r="B814" s="21"/>
      <c r="C814" s="21"/>
      <c r="D814" s="142"/>
      <c r="E814" s="109"/>
      <c r="F814" s="22"/>
      <c r="G814" s="240"/>
      <c r="H814" s="180"/>
      <c r="I814" s="21"/>
      <c r="J814" s="21"/>
      <c r="K814" s="200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92"/>
      <c r="B815" s="21"/>
      <c r="C815" s="21"/>
      <c r="D815" s="142"/>
      <c r="E815" s="109"/>
      <c r="F815" s="22"/>
      <c r="G815" s="240"/>
      <c r="H815" s="180"/>
      <c r="I815" s="21"/>
      <c r="J815" s="21"/>
      <c r="K815" s="200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92"/>
      <c r="B816" s="21"/>
      <c r="C816" s="21"/>
      <c r="D816" s="142"/>
      <c r="E816" s="109"/>
      <c r="F816" s="22"/>
      <c r="G816" s="240"/>
      <c r="H816" s="180"/>
      <c r="I816" s="21"/>
      <c r="J816" s="21"/>
      <c r="K816" s="200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92"/>
      <c r="B817" s="21"/>
      <c r="C817" s="21"/>
      <c r="D817" s="142"/>
      <c r="E817" s="109"/>
      <c r="F817" s="22"/>
      <c r="G817" s="240"/>
      <c r="H817" s="180"/>
      <c r="I817" s="21"/>
      <c r="J817" s="21"/>
      <c r="K817" s="200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92"/>
      <c r="B818" s="21"/>
      <c r="C818" s="21"/>
      <c r="D818" s="142"/>
      <c r="E818" s="109"/>
      <c r="F818" s="22"/>
      <c r="G818" s="240"/>
      <c r="H818" s="180"/>
      <c r="I818" s="21"/>
      <c r="J818" s="21"/>
      <c r="K818" s="200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92"/>
      <c r="B819" s="21"/>
      <c r="C819" s="21"/>
      <c r="D819" s="142"/>
      <c r="E819" s="109"/>
      <c r="F819" s="22"/>
      <c r="G819" s="240"/>
      <c r="H819" s="180"/>
      <c r="I819" s="21"/>
      <c r="J819" s="21"/>
      <c r="K819" s="200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92"/>
      <c r="B820" s="21"/>
      <c r="C820" s="21"/>
      <c r="D820" s="142"/>
      <c r="E820" s="109"/>
      <c r="F820" s="22"/>
      <c r="G820" s="240"/>
      <c r="H820" s="180"/>
      <c r="I820" s="21"/>
      <c r="J820" s="21"/>
      <c r="K820" s="200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92"/>
      <c r="B821" s="21"/>
      <c r="C821" s="21"/>
      <c r="D821" s="142"/>
      <c r="E821" s="109"/>
      <c r="F821" s="22"/>
      <c r="G821" s="240"/>
      <c r="H821" s="180"/>
      <c r="I821" s="21"/>
      <c r="J821" s="21"/>
      <c r="K821" s="200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92"/>
      <c r="B822" s="21"/>
      <c r="C822" s="21"/>
      <c r="D822" s="142"/>
      <c r="E822" s="109"/>
      <c r="F822" s="22"/>
      <c r="G822" s="240"/>
      <c r="H822" s="180"/>
      <c r="I822" s="21"/>
      <c r="J822" s="21"/>
      <c r="K822" s="200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92"/>
      <c r="B823" s="21"/>
      <c r="C823" s="21"/>
      <c r="D823" s="142"/>
      <c r="E823" s="109"/>
      <c r="F823" s="22"/>
      <c r="G823" s="240"/>
      <c r="H823" s="180"/>
      <c r="I823" s="21"/>
      <c r="J823" s="21"/>
      <c r="K823" s="200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92"/>
      <c r="B824" s="21"/>
      <c r="C824" s="21"/>
      <c r="D824" s="142"/>
      <c r="E824" s="109"/>
      <c r="F824" s="22"/>
      <c r="G824" s="240"/>
      <c r="H824" s="180"/>
      <c r="I824" s="21"/>
      <c r="J824" s="21"/>
      <c r="K824" s="200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92"/>
      <c r="B825" s="21"/>
      <c r="C825" s="21"/>
      <c r="D825" s="142"/>
      <c r="E825" s="109"/>
      <c r="F825" s="22"/>
      <c r="G825" s="240"/>
      <c r="H825" s="180"/>
      <c r="I825" s="21"/>
      <c r="J825" s="21"/>
      <c r="K825" s="200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92"/>
      <c r="B826" s="21"/>
      <c r="C826" s="21"/>
      <c r="D826" s="142"/>
      <c r="E826" s="109"/>
      <c r="F826" s="22"/>
      <c r="G826" s="240"/>
      <c r="H826" s="180"/>
      <c r="I826" s="21"/>
      <c r="J826" s="21"/>
      <c r="K826" s="200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92"/>
      <c r="B827" s="21"/>
      <c r="C827" s="21"/>
      <c r="D827" s="142"/>
      <c r="E827" s="109"/>
      <c r="F827" s="22"/>
      <c r="G827" s="240"/>
      <c r="H827" s="180"/>
      <c r="I827" s="21"/>
      <c r="J827" s="21"/>
      <c r="K827" s="200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92"/>
      <c r="B828" s="21"/>
      <c r="C828" s="21"/>
      <c r="D828" s="142"/>
      <c r="E828" s="109"/>
      <c r="F828" s="22"/>
      <c r="G828" s="240"/>
      <c r="H828" s="180"/>
      <c r="I828" s="21"/>
      <c r="J828" s="21"/>
      <c r="K828" s="200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92"/>
      <c r="B829" s="21"/>
      <c r="C829" s="21"/>
      <c r="D829" s="142"/>
      <c r="E829" s="109"/>
      <c r="F829" s="22"/>
      <c r="G829" s="240"/>
      <c r="H829" s="180"/>
      <c r="I829" s="21"/>
      <c r="J829" s="21"/>
      <c r="K829" s="200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92"/>
      <c r="B830" s="21"/>
      <c r="C830" s="21"/>
      <c r="D830" s="142"/>
      <c r="E830" s="109"/>
      <c r="F830" s="22"/>
      <c r="G830" s="240"/>
      <c r="H830" s="180"/>
      <c r="I830" s="21"/>
      <c r="J830" s="21"/>
      <c r="K830" s="200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92"/>
      <c r="B831" s="21"/>
      <c r="C831" s="21"/>
      <c r="D831" s="142"/>
      <c r="E831" s="109"/>
      <c r="F831" s="22"/>
      <c r="G831" s="240"/>
      <c r="H831" s="180"/>
      <c r="I831" s="21"/>
      <c r="J831" s="21"/>
      <c r="K831" s="200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92"/>
      <c r="B832" s="21"/>
      <c r="C832" s="21"/>
      <c r="D832" s="142"/>
      <c r="E832" s="109"/>
      <c r="F832" s="22"/>
      <c r="G832" s="240"/>
      <c r="H832" s="180"/>
      <c r="I832" s="21"/>
      <c r="J832" s="21"/>
      <c r="K832" s="200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92"/>
      <c r="B833" s="21"/>
      <c r="C833" s="21"/>
      <c r="D833" s="142"/>
      <c r="E833" s="109"/>
      <c r="F833" s="22"/>
      <c r="G833" s="240"/>
      <c r="H833" s="180"/>
      <c r="I833" s="21"/>
      <c r="J833" s="21"/>
      <c r="K833" s="200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92"/>
      <c r="B834" s="21"/>
      <c r="C834" s="21"/>
      <c r="D834" s="142"/>
      <c r="E834" s="109"/>
      <c r="F834" s="22"/>
      <c r="G834" s="240"/>
      <c r="H834" s="180"/>
      <c r="I834" s="21"/>
      <c r="J834" s="21"/>
      <c r="K834" s="200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92"/>
      <c r="B835" s="21"/>
      <c r="C835" s="21"/>
      <c r="D835" s="142"/>
      <c r="E835" s="109"/>
      <c r="F835" s="22"/>
      <c r="G835" s="240"/>
      <c r="H835" s="180"/>
      <c r="I835" s="21"/>
      <c r="J835" s="21"/>
      <c r="K835" s="200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92"/>
      <c r="B836" s="21"/>
      <c r="C836" s="21"/>
      <c r="D836" s="142"/>
      <c r="E836" s="109"/>
      <c r="F836" s="22"/>
      <c r="G836" s="240"/>
      <c r="H836" s="180"/>
      <c r="I836" s="21"/>
      <c r="J836" s="21"/>
      <c r="K836" s="200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92"/>
      <c r="B837" s="21"/>
      <c r="C837" s="21"/>
      <c r="D837" s="142"/>
      <c r="E837" s="109"/>
      <c r="F837" s="22"/>
      <c r="G837" s="240"/>
      <c r="H837" s="180"/>
      <c r="I837" s="21"/>
      <c r="J837" s="21"/>
      <c r="K837" s="200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92"/>
      <c r="B838" s="21"/>
      <c r="C838" s="21"/>
      <c r="D838" s="142"/>
      <c r="E838" s="109"/>
      <c r="F838" s="22"/>
      <c r="G838" s="240"/>
      <c r="H838" s="180"/>
      <c r="I838" s="21"/>
      <c r="J838" s="21"/>
      <c r="K838" s="200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92"/>
      <c r="B839" s="21"/>
      <c r="C839" s="21"/>
      <c r="D839" s="142"/>
      <c r="E839" s="109"/>
      <c r="F839" s="22"/>
      <c r="G839" s="240"/>
      <c r="H839" s="180"/>
      <c r="I839" s="21"/>
      <c r="J839" s="21"/>
      <c r="K839" s="200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92"/>
      <c r="B840" s="21"/>
      <c r="C840" s="21"/>
      <c r="D840" s="142"/>
      <c r="E840" s="109"/>
      <c r="F840" s="22"/>
      <c r="G840" s="240"/>
      <c r="H840" s="180"/>
      <c r="I840" s="21"/>
      <c r="J840" s="21"/>
      <c r="K840" s="200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92"/>
      <c r="B841" s="21"/>
      <c r="C841" s="21"/>
      <c r="D841" s="142"/>
      <c r="E841" s="109"/>
      <c r="F841" s="22"/>
      <c r="G841" s="240"/>
      <c r="H841" s="180"/>
      <c r="I841" s="21"/>
      <c r="J841" s="21"/>
      <c r="K841" s="200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92"/>
      <c r="B842" s="21"/>
      <c r="C842" s="21"/>
      <c r="D842" s="142"/>
      <c r="E842" s="109"/>
      <c r="F842" s="22"/>
      <c r="G842" s="240"/>
      <c r="H842" s="180"/>
      <c r="I842" s="21"/>
      <c r="J842" s="21"/>
      <c r="K842" s="200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92"/>
      <c r="B843" s="21"/>
      <c r="C843" s="21"/>
      <c r="D843" s="142"/>
      <c r="E843" s="109"/>
      <c r="F843" s="22"/>
      <c r="G843" s="240"/>
      <c r="H843" s="180"/>
      <c r="I843" s="21"/>
      <c r="J843" s="21"/>
      <c r="K843" s="200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92"/>
      <c r="B844" s="21"/>
      <c r="C844" s="21"/>
      <c r="D844" s="142"/>
      <c r="E844" s="109"/>
      <c r="F844" s="22"/>
      <c r="G844" s="240"/>
      <c r="H844" s="180"/>
      <c r="I844" s="21"/>
      <c r="J844" s="21"/>
      <c r="K844" s="200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92"/>
      <c r="B845" s="21"/>
      <c r="C845" s="21"/>
      <c r="D845" s="142"/>
      <c r="E845" s="109"/>
      <c r="F845" s="22"/>
      <c r="G845" s="240"/>
      <c r="H845" s="180"/>
      <c r="I845" s="21"/>
      <c r="J845" s="21"/>
      <c r="K845" s="200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92"/>
      <c r="B846" s="21"/>
      <c r="C846" s="21"/>
      <c r="D846" s="142"/>
      <c r="E846" s="109"/>
      <c r="F846" s="22"/>
      <c r="G846" s="240"/>
      <c r="H846" s="180"/>
      <c r="I846" s="21"/>
      <c r="J846" s="21"/>
      <c r="K846" s="200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92"/>
      <c r="B847" s="21"/>
      <c r="C847" s="21"/>
      <c r="D847" s="142"/>
      <c r="E847" s="109"/>
      <c r="F847" s="22"/>
      <c r="G847" s="240"/>
      <c r="H847" s="180"/>
      <c r="I847" s="21"/>
      <c r="J847" s="21"/>
      <c r="K847" s="200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92"/>
      <c r="B848" s="21"/>
      <c r="C848" s="21"/>
      <c r="D848" s="142"/>
      <c r="E848" s="109"/>
      <c r="F848" s="22"/>
      <c r="G848" s="240"/>
      <c r="H848" s="180"/>
      <c r="I848" s="21"/>
      <c r="J848" s="21"/>
      <c r="K848" s="200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92"/>
      <c r="B849" s="21"/>
      <c r="C849" s="21"/>
      <c r="D849" s="142"/>
      <c r="E849" s="109"/>
      <c r="F849" s="22"/>
      <c r="G849" s="240"/>
      <c r="H849" s="180"/>
      <c r="I849" s="21"/>
      <c r="J849" s="21"/>
      <c r="K849" s="200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92"/>
      <c r="B850" s="21"/>
      <c r="C850" s="21"/>
      <c r="D850" s="142"/>
      <c r="E850" s="109"/>
      <c r="F850" s="22"/>
      <c r="G850" s="240"/>
      <c r="H850" s="180"/>
      <c r="I850" s="21"/>
      <c r="J850" s="21"/>
      <c r="K850" s="200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92"/>
      <c r="B851" s="21"/>
      <c r="C851" s="21"/>
      <c r="D851" s="142"/>
      <c r="E851" s="109"/>
      <c r="F851" s="22"/>
      <c r="G851" s="240"/>
      <c r="H851" s="180"/>
      <c r="I851" s="21"/>
      <c r="J851" s="21"/>
      <c r="K851" s="200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92"/>
      <c r="B852" s="21"/>
      <c r="C852" s="21"/>
      <c r="D852" s="142"/>
      <c r="E852" s="109"/>
      <c r="F852" s="22"/>
      <c r="G852" s="240"/>
      <c r="H852" s="180"/>
      <c r="I852" s="21"/>
      <c r="J852" s="21"/>
      <c r="K852" s="200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92"/>
      <c r="B853" s="21"/>
      <c r="C853" s="21"/>
      <c r="D853" s="142"/>
      <c r="E853" s="109"/>
      <c r="F853" s="22"/>
      <c r="G853" s="240"/>
      <c r="H853" s="180"/>
      <c r="I853" s="21"/>
      <c r="J853" s="21"/>
      <c r="K853" s="200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92"/>
      <c r="B854" s="21"/>
      <c r="C854" s="21"/>
      <c r="D854" s="142"/>
      <c r="E854" s="109"/>
      <c r="F854" s="22"/>
      <c r="G854" s="240"/>
      <c r="H854" s="180"/>
      <c r="I854" s="21"/>
      <c r="J854" s="21"/>
      <c r="K854" s="200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92"/>
      <c r="B855" s="21"/>
      <c r="C855" s="21"/>
      <c r="D855" s="142"/>
      <c r="E855" s="109"/>
      <c r="F855" s="22"/>
      <c r="G855" s="240"/>
      <c r="H855" s="180"/>
      <c r="I855" s="21"/>
      <c r="J855" s="21"/>
      <c r="K855" s="200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92"/>
      <c r="B856" s="21"/>
      <c r="C856" s="21"/>
      <c r="D856" s="142"/>
      <c r="E856" s="109"/>
      <c r="F856" s="22"/>
      <c r="G856" s="240"/>
      <c r="H856" s="180"/>
      <c r="I856" s="21"/>
      <c r="J856" s="21"/>
      <c r="K856" s="200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92"/>
      <c r="B857" s="21"/>
      <c r="C857" s="21"/>
      <c r="D857" s="142"/>
      <c r="E857" s="109"/>
      <c r="F857" s="22"/>
      <c r="G857" s="240"/>
      <c r="H857" s="180"/>
      <c r="I857" s="21"/>
      <c r="J857" s="21"/>
      <c r="K857" s="200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92"/>
      <c r="B858" s="21"/>
      <c r="C858" s="21"/>
      <c r="D858" s="142"/>
      <c r="E858" s="109"/>
      <c r="F858" s="22"/>
      <c r="G858" s="240"/>
      <c r="H858" s="180"/>
      <c r="I858" s="21"/>
      <c r="J858" s="21"/>
      <c r="K858" s="200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92"/>
      <c r="B859" s="21"/>
      <c r="C859" s="21"/>
      <c r="D859" s="142"/>
      <c r="E859" s="109"/>
      <c r="F859" s="22"/>
      <c r="G859" s="240"/>
      <c r="H859" s="180"/>
      <c r="I859" s="21"/>
      <c r="J859" s="21"/>
      <c r="K859" s="200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92"/>
      <c r="B860" s="21"/>
      <c r="C860" s="21"/>
      <c r="D860" s="142"/>
      <c r="E860" s="109"/>
      <c r="F860" s="22"/>
      <c r="G860" s="240"/>
      <c r="H860" s="180"/>
      <c r="I860" s="21"/>
      <c r="J860" s="21"/>
      <c r="K860" s="200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92"/>
      <c r="B861" s="21"/>
      <c r="C861" s="21"/>
      <c r="D861" s="142"/>
      <c r="E861" s="109"/>
      <c r="F861" s="22"/>
      <c r="G861" s="240"/>
      <c r="H861" s="180"/>
      <c r="I861" s="21"/>
      <c r="J861" s="21"/>
      <c r="K861" s="200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92"/>
      <c r="B862" s="21"/>
      <c r="C862" s="21"/>
      <c r="D862" s="142"/>
      <c r="E862" s="109"/>
      <c r="F862" s="22"/>
      <c r="G862" s="240"/>
      <c r="H862" s="180"/>
      <c r="I862" s="21"/>
      <c r="J862" s="21"/>
      <c r="K862" s="200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92"/>
      <c r="B863" s="21"/>
      <c r="C863" s="21"/>
      <c r="D863" s="142"/>
      <c r="E863" s="109"/>
      <c r="F863" s="22"/>
      <c r="G863" s="240"/>
      <c r="H863" s="180"/>
      <c r="I863" s="21"/>
      <c r="J863" s="21"/>
      <c r="K863" s="200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92"/>
      <c r="B864" s="21"/>
      <c r="C864" s="21"/>
      <c r="D864" s="142"/>
      <c r="E864" s="109"/>
      <c r="F864" s="22"/>
      <c r="G864" s="240"/>
      <c r="H864" s="180"/>
      <c r="I864" s="21"/>
      <c r="J864" s="21"/>
      <c r="K864" s="200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92"/>
      <c r="B865" s="21"/>
      <c r="C865" s="21"/>
      <c r="D865" s="142"/>
      <c r="E865" s="109"/>
      <c r="F865" s="22"/>
      <c r="G865" s="240"/>
      <c r="H865" s="180"/>
      <c r="I865" s="21"/>
      <c r="J865" s="21"/>
      <c r="K865" s="200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92"/>
      <c r="B866" s="21"/>
      <c r="C866" s="21"/>
      <c r="D866" s="142"/>
      <c r="E866" s="109"/>
      <c r="F866" s="22"/>
      <c r="G866" s="240"/>
      <c r="H866" s="180"/>
      <c r="I866" s="21"/>
      <c r="J866" s="21"/>
      <c r="K866" s="200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92"/>
      <c r="B867" s="21"/>
      <c r="C867" s="21"/>
      <c r="D867" s="142"/>
      <c r="E867" s="109"/>
      <c r="F867" s="22"/>
      <c r="G867" s="240"/>
      <c r="H867" s="180"/>
      <c r="I867" s="21"/>
      <c r="J867" s="21"/>
      <c r="K867" s="200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92"/>
      <c r="B868" s="21"/>
      <c r="C868" s="21"/>
      <c r="D868" s="142"/>
      <c r="E868" s="109"/>
      <c r="F868" s="22"/>
      <c r="G868" s="240"/>
      <c r="H868" s="180"/>
      <c r="I868" s="21"/>
      <c r="J868" s="21"/>
      <c r="K868" s="200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92"/>
      <c r="B869" s="21"/>
      <c r="C869" s="21"/>
      <c r="D869" s="142"/>
      <c r="E869" s="109"/>
      <c r="F869" s="22"/>
      <c r="G869" s="240"/>
      <c r="H869" s="180"/>
      <c r="I869" s="21"/>
      <c r="J869" s="21"/>
      <c r="K869" s="200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92"/>
      <c r="B870" s="21"/>
      <c r="C870" s="21"/>
      <c r="D870" s="142"/>
      <c r="E870" s="109"/>
      <c r="F870" s="22"/>
      <c r="G870" s="240"/>
      <c r="H870" s="180"/>
      <c r="I870" s="21"/>
      <c r="J870" s="21"/>
      <c r="K870" s="200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92"/>
      <c r="B871" s="21"/>
      <c r="C871" s="21"/>
      <c r="D871" s="142"/>
      <c r="E871" s="109"/>
      <c r="F871" s="22"/>
      <c r="G871" s="240"/>
      <c r="H871" s="180"/>
      <c r="I871" s="21"/>
      <c r="J871" s="21"/>
      <c r="K871" s="200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92"/>
      <c r="B872" s="21"/>
      <c r="C872" s="21"/>
      <c r="D872" s="142"/>
      <c r="E872" s="109"/>
      <c r="F872" s="22"/>
      <c r="G872" s="240"/>
      <c r="H872" s="180"/>
      <c r="I872" s="21"/>
      <c r="J872" s="21"/>
      <c r="K872" s="200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92"/>
      <c r="B873" s="21"/>
      <c r="C873" s="21"/>
      <c r="D873" s="142"/>
      <c r="E873" s="109"/>
      <c r="F873" s="22"/>
      <c r="G873" s="240"/>
      <c r="H873" s="180"/>
      <c r="I873" s="21"/>
      <c r="J873" s="21"/>
      <c r="K873" s="200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92"/>
      <c r="B874" s="21"/>
      <c r="C874" s="21"/>
      <c r="D874" s="142"/>
      <c r="E874" s="109"/>
      <c r="F874" s="22"/>
      <c r="G874" s="240"/>
      <c r="H874" s="180"/>
      <c r="I874" s="21"/>
      <c r="J874" s="21"/>
      <c r="K874" s="200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92"/>
      <c r="B875" s="21"/>
      <c r="C875" s="21"/>
      <c r="D875" s="142"/>
      <c r="E875" s="109"/>
      <c r="F875" s="22"/>
      <c r="G875" s="240"/>
      <c r="H875" s="180"/>
      <c r="I875" s="21"/>
      <c r="J875" s="21"/>
      <c r="K875" s="200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92"/>
      <c r="B876" s="21"/>
      <c r="C876" s="21"/>
      <c r="D876" s="142"/>
      <c r="E876" s="109"/>
      <c r="F876" s="22"/>
      <c r="G876" s="240"/>
      <c r="H876" s="180"/>
      <c r="I876" s="21"/>
      <c r="J876" s="21"/>
      <c r="K876" s="200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92"/>
      <c r="B877" s="21"/>
      <c r="C877" s="21"/>
      <c r="D877" s="142"/>
      <c r="E877" s="109"/>
      <c r="F877" s="22"/>
      <c r="G877" s="240"/>
      <c r="H877" s="180"/>
      <c r="I877" s="21"/>
      <c r="J877" s="21"/>
      <c r="K877" s="200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92"/>
      <c r="B878" s="21"/>
      <c r="C878" s="21"/>
      <c r="D878" s="142"/>
      <c r="E878" s="109"/>
      <c r="F878" s="22"/>
      <c r="G878" s="240"/>
      <c r="H878" s="180"/>
      <c r="I878" s="21"/>
      <c r="J878" s="21"/>
      <c r="K878" s="200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92"/>
      <c r="B879" s="21"/>
      <c r="C879" s="21"/>
      <c r="D879" s="142"/>
      <c r="E879" s="109"/>
      <c r="F879" s="22"/>
      <c r="G879" s="240"/>
      <c r="H879" s="180"/>
      <c r="I879" s="21"/>
      <c r="J879" s="21"/>
      <c r="K879" s="200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92"/>
      <c r="B880" s="21"/>
      <c r="C880" s="21"/>
      <c r="D880" s="142"/>
      <c r="E880" s="109"/>
      <c r="F880" s="22"/>
      <c r="G880" s="240"/>
      <c r="H880" s="180"/>
      <c r="I880" s="21"/>
      <c r="J880" s="21"/>
      <c r="K880" s="200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92"/>
      <c r="B881" s="21"/>
      <c r="C881" s="21"/>
      <c r="D881" s="142"/>
      <c r="E881" s="109"/>
      <c r="F881" s="22"/>
      <c r="G881" s="240"/>
      <c r="H881" s="180"/>
      <c r="I881" s="21"/>
      <c r="J881" s="21"/>
      <c r="K881" s="200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92"/>
      <c r="B882" s="21"/>
      <c r="C882" s="21"/>
      <c r="D882" s="142"/>
      <c r="E882" s="109"/>
      <c r="F882" s="22"/>
      <c r="G882" s="240"/>
      <c r="H882" s="180"/>
      <c r="I882" s="21"/>
      <c r="J882" s="21"/>
      <c r="K882" s="200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7"/>
      <c r="B883" s="21"/>
      <c r="C883" s="21"/>
      <c r="D883" s="142"/>
      <c r="E883" s="109"/>
      <c r="F883" s="22"/>
      <c r="G883" s="240"/>
      <c r="H883" s="180"/>
      <c r="I883" s="21"/>
      <c r="J883" s="21"/>
      <c r="K883" s="200"/>
      <c r="L883" s="21"/>
      <c r="M883" s="21"/>
      <c r="N883" s="21"/>
      <c r="O883" s="21"/>
      <c r="P883" s="21"/>
      <c r="Q883" s="21"/>
      <c r="R883" s="21"/>
    </row>
    <row r="884" spans="1:18">
      <c r="B884" s="21"/>
      <c r="C884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5:R78 H51:R64 H50 H3:R49 E1:E2 C1:C2 F3:G63" name="Bereik1"/>
  </protectedRanges>
  <sortState xmlns:xlrd2="http://schemas.microsoft.com/office/spreadsheetml/2017/richdata2" ref="A1:R884">
    <sortCondition ref="B1:B884"/>
  </sortState>
  <mergeCells count="2">
    <mergeCell ref="X2:Z2"/>
    <mergeCell ref="X1:Z1"/>
  </mergeCells>
  <phoneticPr fontId="0" type="noConversion"/>
  <conditionalFormatting sqref="F3:G54 G55 F56:G64">
    <cfRule type="cellIs" dxfId="9" priority="7" operator="equal">
      <formula>"A"</formula>
    </cfRule>
  </conditionalFormatting>
  <conditionalFormatting sqref="C3">
    <cfRule type="expression" dxfId="8" priority="6">
      <formula>"F3=A"</formula>
    </cfRule>
  </conditionalFormatting>
  <conditionalFormatting sqref="F32">
    <cfRule type="cellIs" dxfId="7" priority="3" operator="lessThan">
      <formula>1</formula>
    </cfRule>
  </conditionalFormatting>
  <conditionalFormatting sqref="E1">
    <cfRule type="cellIs" dxfId="6" priority="2" operator="equal">
      <formula>"A"</formula>
    </cfRule>
  </conditionalFormatting>
  <conditionalFormatting sqref="C1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3" bestFit="1" customWidth="1"/>
    <col min="2" max="2" width="15" style="73" bestFit="1" customWidth="1"/>
    <col min="3" max="3" width="16.28515625" style="73" customWidth="1"/>
    <col min="4" max="4" width="16.28515625" style="73" bestFit="1" customWidth="1"/>
    <col min="5" max="5" width="8.28515625" style="73" customWidth="1"/>
    <col min="6" max="6" width="17" style="73" customWidth="1"/>
    <col min="7" max="7" width="15.140625" style="73" customWidth="1"/>
    <col min="8" max="8" width="16.42578125" style="73" customWidth="1"/>
    <col min="9" max="9" width="14.7109375" style="73" customWidth="1"/>
    <col min="10" max="16384" width="9.140625" style="73"/>
  </cols>
  <sheetData>
    <row r="1" spans="1:9" s="79" customFormat="1" ht="14.25">
      <c r="A1" s="79" t="s">
        <v>65</v>
      </c>
      <c r="D1" s="80">
        <f ca="1">Loting!$R$2</f>
        <v>45985</v>
      </c>
      <c r="I1" s="80">
        <f ca="1">Loting!$R$2</f>
        <v>45985</v>
      </c>
    </row>
    <row r="2" spans="1:9" ht="21" customHeight="1"/>
    <row r="3" spans="1:9" ht="15" customHeight="1">
      <c r="A3" s="82"/>
      <c r="B3" s="82"/>
      <c r="C3" s="83">
        <f>Loting!M31</f>
        <v>5</v>
      </c>
      <c r="D3" s="84">
        <f>Loting!N31</f>
        <v>1</v>
      </c>
      <c r="F3" s="83"/>
      <c r="G3" s="83"/>
      <c r="H3" s="83">
        <f>Loting!R31</f>
        <v>5</v>
      </c>
      <c r="I3" s="84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1" t="str">
        <f ca="1">Loting!$K$9</f>
        <v/>
      </c>
      <c r="B7" s="81" t="str">
        <f ca="1">Loting!M$9</f>
        <v/>
      </c>
      <c r="C7" s="81" t="str">
        <f ca="1">Loting!P$9</f>
        <v/>
      </c>
      <c r="D7" s="81" t="str">
        <f ca="1">Loting!$P$9</f>
        <v/>
      </c>
      <c r="E7" s="81"/>
      <c r="F7" s="81" t="str">
        <f ca="1">Loting!$K$10</f>
        <v/>
      </c>
      <c r="G7" s="81" t="str">
        <f ca="1">Loting!$M$10</f>
        <v/>
      </c>
      <c r="H7" s="81" t="str">
        <f ca="1">Loting!$P$10</f>
        <v/>
      </c>
      <c r="I7" s="81" t="str">
        <f ca="1">Loting!$R$10</f>
        <v/>
      </c>
    </row>
    <row r="9" spans="1:9" s="79" customFormat="1" ht="14.25">
      <c r="D9" s="80">
        <f ca="1">Loting!$R$2</f>
        <v>45985</v>
      </c>
      <c r="I9" s="80">
        <f ca="1">Loting!$R$2</f>
        <v>45985</v>
      </c>
    </row>
    <row r="10" spans="1:9" ht="21" customHeight="1"/>
    <row r="11" spans="1:9" ht="15" customHeight="1">
      <c r="A11" s="82"/>
      <c r="B11" s="82"/>
      <c r="C11" s="83">
        <f>Loting!M38</f>
        <v>5</v>
      </c>
      <c r="D11" s="84">
        <f>Loting!N38</f>
        <v>3</v>
      </c>
      <c r="F11" s="83"/>
      <c r="G11" s="83"/>
      <c r="H11" s="83">
        <f>Loting!R38</f>
        <v>5</v>
      </c>
      <c r="I11" s="84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1" t="str">
        <f>Loting!$E$13</f>
        <v>ZZZZ</v>
      </c>
      <c r="B15" s="81" t="str">
        <f>Loting!$E$14</f>
        <v>ZZZZ</v>
      </c>
      <c r="C15" s="81" t="str">
        <f>Loting!$E$15</f>
        <v>ZZZZ</v>
      </c>
      <c r="D15" s="81" t="str">
        <f>Loting!$E$16</f>
        <v>ZZZZ</v>
      </c>
      <c r="E15" s="81"/>
      <c r="F15" s="81" t="str">
        <f>Loting!$E$17</f>
        <v>ZZZZ</v>
      </c>
      <c r="G15" s="81" t="str">
        <f>Loting!$E$18</f>
        <v>ZZZZ</v>
      </c>
      <c r="H15" s="81" t="str">
        <f>Loting!$E$19</f>
        <v>ZZZZ</v>
      </c>
      <c r="I15" s="81" t="str">
        <f>Loting!$E$20</f>
        <v>ZZZZ</v>
      </c>
    </row>
    <row r="16" spans="1:9">
      <c r="A16" s="81"/>
      <c r="B16" s="81"/>
      <c r="C16" s="81"/>
      <c r="D16" s="81"/>
      <c r="E16" s="81"/>
      <c r="F16" s="81"/>
      <c r="G16" s="81"/>
      <c r="H16" s="81"/>
      <c r="I16" s="81"/>
    </row>
    <row r="17" spans="1:9" s="79" customFormat="1" ht="14.25">
      <c r="D17" s="80"/>
      <c r="I17" s="80">
        <f ca="1">Loting!$R$2</f>
        <v>45985</v>
      </c>
    </row>
    <row r="18" spans="1:9" ht="21" customHeight="1"/>
    <row r="19" spans="1:9" ht="15" customHeight="1">
      <c r="A19" s="82"/>
      <c r="B19" s="82"/>
      <c r="C19" s="83">
        <f>Loting!M45</f>
        <v>5</v>
      </c>
      <c r="D19" s="84">
        <f>Loting!N45</f>
        <v>5</v>
      </c>
      <c r="F19" s="83"/>
      <c r="G19" s="83"/>
      <c r="H19" s="83">
        <f>Loting!R45</f>
        <v>5</v>
      </c>
      <c r="I19" s="84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1" t="str">
        <f>Loting!$E$21</f>
        <v>ZZZZ</v>
      </c>
      <c r="B23" s="81" t="str">
        <f>Loting!$E$22</f>
        <v>ZZZZ</v>
      </c>
      <c r="C23" s="81" t="str">
        <f>Loting!$E$23</f>
        <v>ZZZZ</v>
      </c>
      <c r="D23" s="81" t="str">
        <f>Loting!$E$24</f>
        <v>ZZZZ</v>
      </c>
      <c r="E23" s="81"/>
      <c r="F23" s="81" t="str">
        <f>Loting!$E$25</f>
        <v>ZZZZ</v>
      </c>
      <c r="G23" s="81" t="str">
        <f>Loting!$E$26</f>
        <v>ZZZZ</v>
      </c>
      <c r="H23" s="81" t="str">
        <f>Loting!$E$27</f>
        <v>ZZZZ</v>
      </c>
      <c r="I23" s="81" t="str">
        <f>Loting!$E$28</f>
        <v>ZZZZ</v>
      </c>
    </row>
    <row r="25" spans="1:9" s="79" customFormat="1" ht="14.25">
      <c r="D25" s="80">
        <f ca="1">Loting!$R$2</f>
        <v>45985</v>
      </c>
      <c r="I25" s="80">
        <f ca="1">Loting!$R$2</f>
        <v>45985</v>
      </c>
    </row>
    <row r="26" spans="1:9" ht="21" customHeight="1"/>
    <row r="27" spans="1:9" ht="15" customHeight="1">
      <c r="A27" s="82"/>
      <c r="B27" s="82"/>
      <c r="C27" s="83">
        <f>Loting!M52</f>
        <v>5</v>
      </c>
      <c r="D27" s="84">
        <f>Loting!N52</f>
        <v>7</v>
      </c>
      <c r="F27" s="83"/>
      <c r="G27" s="83"/>
      <c r="H27" s="83">
        <f>Loting!R52</f>
        <v>5</v>
      </c>
      <c r="I27" s="84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1" t="e">
        <f>Loting!#REF!</f>
        <v>#REF!</v>
      </c>
      <c r="B31" s="81" t="str">
        <f>Loting!$E$29</f>
        <v>ZZZZ</v>
      </c>
      <c r="C31" s="81" t="str">
        <f>Loting!$E$30</f>
        <v>ZZZZ</v>
      </c>
      <c r="D31" s="81" t="str">
        <f>Loting!$E$31</f>
        <v>ZZZZ</v>
      </c>
      <c r="E31" s="81"/>
      <c r="F31" s="81" t="str">
        <f>Loting!$E$32</f>
        <v>ZZZZ</v>
      </c>
      <c r="G31" s="81" t="str">
        <f>Loting!$E$33</f>
        <v>ZZZZ</v>
      </c>
      <c r="H31" s="81" t="str">
        <f>Loting!$E$34</f>
        <v>ZZZZ</v>
      </c>
      <c r="I31" s="81" t="str">
        <f>Loting!$E$35</f>
        <v>ZZZZ</v>
      </c>
    </row>
    <row r="32" spans="1:9">
      <c r="A32" s="81"/>
      <c r="B32" s="81"/>
      <c r="C32" s="81"/>
      <c r="D32" s="81"/>
      <c r="E32" s="81"/>
      <c r="F32" s="81"/>
      <c r="G32" s="81"/>
      <c r="H32" s="81"/>
      <c r="I32" s="81"/>
    </row>
    <row r="33" spans="1:9" s="79" customFormat="1" ht="14.25">
      <c r="D33" s="80">
        <f ca="1">Loting!$R$2</f>
        <v>45985</v>
      </c>
      <c r="I33" s="80">
        <f ca="1">Loting!$R$2</f>
        <v>45985</v>
      </c>
    </row>
    <row r="34" spans="1:9" ht="21" customHeight="1"/>
    <row r="35" spans="1:9" ht="15" customHeight="1">
      <c r="A35" s="82"/>
      <c r="B35" s="82"/>
      <c r="C35" s="83">
        <f>Loting!M59</f>
        <v>5</v>
      </c>
      <c r="D35" s="84">
        <f>Loting!N59</f>
        <v>9</v>
      </c>
      <c r="F35" s="83"/>
      <c r="G35" s="83"/>
      <c r="H35" s="83">
        <f>Loting!R59</f>
        <v>5</v>
      </c>
      <c r="I35" s="84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1" t="str">
        <f>Loting!$E$36</f>
        <v>ZZZZ</v>
      </c>
      <c r="B39" s="81" t="str">
        <f>Loting!$E$37</f>
        <v>ZZZZ</v>
      </c>
      <c r="C39" s="81" t="str">
        <f>Loting!$E$38</f>
        <v>ZZZZ</v>
      </c>
      <c r="D39" s="81" t="str">
        <f>Loting!$E$39</f>
        <v>ZZZZ</v>
      </c>
      <c r="E39" s="81"/>
      <c r="F39" s="81" t="str">
        <f>Loting!$E$40</f>
        <v>ZZZZ</v>
      </c>
      <c r="G39" s="81" t="str">
        <f>Loting!$E$41</f>
        <v>ZZZZ</v>
      </c>
      <c r="H39" s="81" t="str">
        <f>Loting!$E$42</f>
        <v>ZZZZ</v>
      </c>
      <c r="I39" s="81" t="str">
        <f>Loting!$E$43</f>
        <v>ZZZZ</v>
      </c>
    </row>
    <row r="40" spans="1:9">
      <c r="A40" s="81"/>
      <c r="B40" s="81"/>
      <c r="C40" s="81"/>
      <c r="D40" s="81"/>
      <c r="E40" s="81"/>
      <c r="F40" s="81"/>
      <c r="G40" s="81"/>
      <c r="H40" s="81"/>
      <c r="I40" s="81"/>
    </row>
    <row r="41" spans="1:9" s="79" customFormat="1" ht="14.25">
      <c r="D41" s="80">
        <f ca="1">Loting!$R$2</f>
        <v>45985</v>
      </c>
      <c r="I41" s="80">
        <f ca="1">Loting!$R$2</f>
        <v>45985</v>
      </c>
    </row>
    <row r="42" spans="1:9" ht="21" customHeight="1"/>
    <row r="43" spans="1:9" ht="15" customHeight="1">
      <c r="A43" s="82"/>
      <c r="B43" s="82"/>
      <c r="C43" s="83">
        <f>Loting!M66</f>
        <v>5</v>
      </c>
      <c r="D43" s="84">
        <f>Loting!N66</f>
        <v>11</v>
      </c>
      <c r="F43" s="83"/>
      <c r="G43" s="83"/>
      <c r="H43" s="83">
        <f>Loting!R66</f>
        <v>5</v>
      </c>
      <c r="I43" s="84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1" t="str">
        <f>Loting!$E$44</f>
        <v>ZZZZ</v>
      </c>
      <c r="B47" s="81" t="str">
        <f>Loting!$E$45</f>
        <v>ZZZZ</v>
      </c>
      <c r="C47" s="81" t="str">
        <f>Loting!$E$46</f>
        <v>ZZZZ</v>
      </c>
      <c r="D47" s="81" t="str">
        <f>Loting!$E$47</f>
        <v>ZZZZ</v>
      </c>
      <c r="E47" s="81"/>
      <c r="F47" s="81" t="str">
        <f>Loting!$E$48</f>
        <v>ZZZZ</v>
      </c>
      <c r="G47" s="81" t="str">
        <f>Loting!$E$49</f>
        <v>ZZZZ</v>
      </c>
      <c r="H47" s="81" t="str">
        <f>Loting!$E$50</f>
        <v>ZZZZ</v>
      </c>
      <c r="I47" s="81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zoomScale="90" zoomScaleNormal="90" workbookViewId="0">
      <selection activeCell="F2" sqref="F2"/>
    </sheetView>
  </sheetViews>
  <sheetFormatPr defaultColWidth="9.140625" defaultRowHeight="12.75"/>
  <cols>
    <col min="1" max="1" width="2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7.28515625" customWidth="1"/>
    <col min="7" max="7" width="4.85546875" style="24" customWidth="1"/>
    <col min="8" max="8" width="40.85546875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301" t="s">
        <v>183</v>
      </c>
      <c r="C1" s="302"/>
      <c r="D1" s="250"/>
      <c r="E1" s="28" t="s">
        <v>6</v>
      </c>
      <c r="F1" s="29">
        <v>5</v>
      </c>
      <c r="G1" s="305" t="s">
        <v>8</v>
      </c>
      <c r="H1" s="3"/>
      <c r="J1" s="59"/>
      <c r="K1" s="195">
        <f>MOD(F1,4)+1</f>
        <v>2</v>
      </c>
      <c r="L1" s="196"/>
      <c r="M1" s="195">
        <f>MOD(K1,4)+1</f>
        <v>3</v>
      </c>
      <c r="N1" s="196"/>
      <c r="O1" s="197"/>
      <c r="P1" s="195">
        <f>MOD(M1,4)+1</f>
        <v>4</v>
      </c>
      <c r="Q1" s="196"/>
      <c r="R1" s="195">
        <f>MOD(P1,4)+1</f>
        <v>1</v>
      </c>
      <c r="S1" s="196"/>
      <c r="T1" s="36" t="s">
        <v>35</v>
      </c>
      <c r="U1" s="115"/>
      <c r="AB1" s="203" t="s">
        <v>164</v>
      </c>
    </row>
    <row r="2" spans="1:28" ht="16.5" thickBot="1">
      <c r="A2" s="187" t="s">
        <v>149</v>
      </c>
      <c r="B2" s="251">
        <f ca="1">MIN(3,MAX(6-F3,1))</f>
        <v>3</v>
      </c>
      <c r="C2" s="251">
        <f ca="1">B2+F3-1</f>
        <v>2</v>
      </c>
      <c r="D2" s="27"/>
      <c r="E2" s="30" t="s">
        <v>4</v>
      </c>
      <c r="F2" s="31">
        <f ca="1">COUNTIF(A5:A69,"&lt;10000")</f>
        <v>0</v>
      </c>
      <c r="G2" s="306"/>
      <c r="H2" s="3"/>
      <c r="J2" s="59"/>
      <c r="M2" s="94"/>
      <c r="R2" s="303">
        <f ca="1">H8</f>
        <v>45985</v>
      </c>
      <c r="S2" s="304"/>
      <c r="T2" s="133"/>
      <c r="U2" s="115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6"/>
      <c r="H3" s="26"/>
      <c r="J3" s="59"/>
      <c r="N3" s="95"/>
      <c r="R3" s="304"/>
      <c r="S3" s="304"/>
      <c r="T3" s="133"/>
      <c r="U3" s="115"/>
      <c r="AB3" s="20" t="str">
        <f ca="1">M9</f>
        <v/>
      </c>
    </row>
    <row r="4" spans="1:28" ht="26.25" thickBot="1">
      <c r="A4" s="7" t="s">
        <v>147</v>
      </c>
      <c r="B4" s="182" t="s">
        <v>145</v>
      </c>
      <c r="C4" s="182" t="s">
        <v>146</v>
      </c>
      <c r="D4" s="17">
        <f ca="1">MOD(F2,4)</f>
        <v>0</v>
      </c>
      <c r="E4" s="93" t="str">
        <f ca="1">IF(COUNTIF(D5:D83,"R")=D4,"Loting Ctrl-Shift-L","#Reserve: "&amp;COUNTIF(D5:D83,"R")&amp;"-&gt;"&amp;D4)</f>
        <v>Loting Ctrl-Shift-L</v>
      </c>
      <c r="F4" s="35" t="s">
        <v>34</v>
      </c>
      <c r="G4" s="307"/>
      <c r="H4" s="52" t="s">
        <v>134</v>
      </c>
      <c r="J4" s="59"/>
      <c r="K4" s="96"/>
      <c r="M4" s="97"/>
      <c r="N4" s="94"/>
      <c r="R4" s="98" t="s">
        <v>52</v>
      </c>
      <c r="S4" s="99">
        <f>F1</f>
        <v>5</v>
      </c>
      <c r="T4" s="115"/>
      <c r="U4" s="115"/>
      <c r="AB4" s="20" t="str">
        <f ca="1">P9</f>
        <v/>
      </c>
    </row>
    <row r="5" spans="1:28" ht="18.75" customHeight="1" thickTop="1" thickBot="1">
      <c r="A5" s="189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83"/>
      <c r="E5" s="4" t="str">
        <f>IF(AND(ISNUMBER(AanwezigReserve!F20),AanwezigReserve!F20&gt;=$F$1),AanwezigReserve!D20,"ZZZZ")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135</v>
      </c>
      <c r="J5" s="59"/>
      <c r="M5" s="94"/>
      <c r="O5" s="100"/>
      <c r="P5" s="100"/>
      <c r="T5" s="139" t="s">
        <v>139</v>
      </c>
      <c r="U5" s="258" t="s">
        <v>184</v>
      </c>
      <c r="AA5" s="7"/>
      <c r="AB5" s="20" t="str">
        <f ca="1">R9</f>
        <v/>
      </c>
    </row>
    <row r="6" spans="1:28" ht="18.75" customHeight="1" thickTop="1" thickBot="1">
      <c r="A6" s="189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83"/>
      <c r="E6" s="4" t="str">
        <f>IF(AND(ISNUMBER(AanwezigReserve!F46),AanwezigReserve!F46&gt;=$F$1),AanwezigReserve!D46,"ZZZZ")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4"/>
      <c r="N6" s="215" t="s">
        <v>52</v>
      </c>
      <c r="O6" s="216">
        <f>F1</f>
        <v>5</v>
      </c>
      <c r="P6" s="217"/>
      <c r="R6" s="300"/>
      <c r="S6" s="300"/>
      <c r="T6" s="134"/>
      <c r="U6" s="115"/>
      <c r="AA6" s="7">
        <f>AA2+1</f>
        <v>2</v>
      </c>
      <c r="AB6" s="19" t="str">
        <f ca="1">K10</f>
        <v/>
      </c>
    </row>
    <row r="7" spans="1:28" ht="19.5" thickTop="1" thickBot="1">
      <c r="A7" s="189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83"/>
      <c r="E7" s="4" t="str">
        <f>IF(AND(ISNUMBER(AanwezigReserve!F34),AanwezigReserve!F34&gt;=$F$1),AanwezigReserve!D34,"ZZZZ")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133</v>
      </c>
      <c r="I7"/>
      <c r="J7" s="56"/>
      <c r="M7" s="94"/>
      <c r="N7" s="78"/>
      <c r="P7" s="13"/>
      <c r="R7" s="300"/>
      <c r="S7" s="300"/>
      <c r="U7" s="115"/>
      <c r="AB7" s="20" t="str">
        <f ca="1">M10</f>
        <v/>
      </c>
    </row>
    <row r="8" spans="1:28" ht="17.25" thickTop="1" thickBot="1">
      <c r="A8" s="189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83"/>
      <c r="E8" s="4" t="str">
        <f>IF(AND(ISNUMBER(AanwezigReserve!F11),AanwezigReserve!F11&gt;=$F$1),AanwezigReserve!D11,"ZZZZ")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40">
        <f ca="1">TODAY()</f>
        <v>45985</v>
      </c>
      <c r="I8"/>
      <c r="J8" s="188"/>
      <c r="T8" s="139"/>
      <c r="U8" s="186" t="s">
        <v>144</v>
      </c>
      <c r="V8" s="113" t="s">
        <v>144</v>
      </c>
      <c r="AB8" s="20" t="str">
        <f ca="1">P10</f>
        <v/>
      </c>
    </row>
    <row r="9" spans="1:28" ht="20.100000000000001" customHeight="1" thickTop="1" thickBot="1">
      <c r="A9" s="189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83"/>
      <c r="E9" s="4" t="str">
        <f>IF(AND(ISNUMBER(AanwezigReserve!F47),AanwezigReserve!F47&gt;=$F$1),AanwezigReserve!D47,"ZZZZ")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9" t="str">
        <f t="shared" ref="K9:K22" ca="1" si="0">IF(AND($J9&gt;=$B$2,($J9-1)*4+K$1&lt;=4*$C$2),VLOOKUP(($J9-1)*4+K$1,$C$5:$E$59,3,0),"")</f>
        <v/>
      </c>
      <c r="L9" s="299"/>
      <c r="M9" s="299" t="str">
        <f t="shared" ref="M9:M22" ca="1" si="1">IF(AND($J9&gt;=$B$2,($J9-1)*4+M$1&lt;=4*$C$2),VLOOKUP(($J9-1)*4+M$1,$C$5:$E$59,3,0),"")</f>
        <v/>
      </c>
      <c r="N9" s="299"/>
      <c r="O9" s="101" t="str">
        <f>"T "&amp;J9</f>
        <v>T 1</v>
      </c>
      <c r="P9" s="299" t="str">
        <f t="shared" ref="P9:P22" ca="1" si="2">IF(AND($J9&gt;=$B$2,($J9-1)*4+P$1&lt;=4*$C$2),VLOOKUP(($J9-1)*4+P$1,$C$5:$E$59,3,0),"")</f>
        <v/>
      </c>
      <c r="Q9" s="299"/>
      <c r="R9" s="299" t="str">
        <f t="shared" ref="R9:R22" ca="1" si="3">IF(AND($J9&gt;=$B$2,($J9-1)*4+R$1&lt;=4*$C$2),VLOOKUP(($J9-1)*4+R$1,$C$5:$E$59,3,0),"")</f>
        <v/>
      </c>
      <c r="S9" s="299"/>
      <c r="U9" s="113" t="s">
        <v>144</v>
      </c>
      <c r="V9" s="113" t="s">
        <v>144</v>
      </c>
      <c r="W9" s="113" t="s">
        <v>144</v>
      </c>
      <c r="AA9" s="7"/>
      <c r="AB9" s="20" t="str">
        <f ca="1">R10</f>
        <v/>
      </c>
    </row>
    <row r="10" spans="1:28" ht="20.100000000000001" customHeight="1" thickTop="1" thickBot="1">
      <c r="A10" s="189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83"/>
      <c r="E10" s="4" t="str">
        <f>IF(AND(ISNUMBER(AanwezigReserve!F32),AanwezigReserve!F32&gt;=$F$1),AanwezigReserve!D32,"ZZZZ")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185</v>
      </c>
      <c r="I10"/>
      <c r="J10" s="60">
        <v>2</v>
      </c>
      <c r="K10" s="299" t="str">
        <f t="shared" ca="1" si="0"/>
        <v/>
      </c>
      <c r="L10" s="299"/>
      <c r="M10" s="299" t="str">
        <f t="shared" ca="1" si="1"/>
        <v/>
      </c>
      <c r="N10" s="299"/>
      <c r="O10" s="101" t="str">
        <f t="shared" ref="O10:O20" si="4">"T "&amp;J10</f>
        <v>T 2</v>
      </c>
      <c r="P10" s="299" t="str">
        <f t="shared" ca="1" si="2"/>
        <v/>
      </c>
      <c r="Q10" s="299"/>
      <c r="R10" s="299" t="str">
        <f t="shared" ca="1" si="3"/>
        <v/>
      </c>
      <c r="S10" s="299"/>
      <c r="U10" s="7" t="s">
        <v>138</v>
      </c>
      <c r="V10" t="s">
        <v>138</v>
      </c>
      <c r="Y10" s="85"/>
      <c r="AA10" s="7">
        <f t="shared" ref="AA10" si="5">AA6+1</f>
        <v>3</v>
      </c>
      <c r="AB10" s="19" t="str">
        <f ca="1">K11</f>
        <v/>
      </c>
    </row>
    <row r="11" spans="1:28" ht="20.100000000000001" customHeight="1" thickTop="1" thickBot="1">
      <c r="A11" s="189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83"/>
      <c r="E11" s="4" t="str">
        <f>IF(AND(ISNUMBER(AanwezigReserve!F37),AanwezigReserve!F37&gt;=$F$1),AanwezigReserve!D37,"ZZZZ")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186</v>
      </c>
      <c r="I11"/>
      <c r="J11" s="60">
        <v>3</v>
      </c>
      <c r="K11" s="299" t="str">
        <f t="shared" ca="1" si="0"/>
        <v/>
      </c>
      <c r="L11" s="299"/>
      <c r="M11" s="299" t="str">
        <f t="shared" ca="1" si="1"/>
        <v/>
      </c>
      <c r="N11" s="299"/>
      <c r="O11" s="101" t="str">
        <f t="shared" si="4"/>
        <v>T 3</v>
      </c>
      <c r="P11" s="299" t="str">
        <f t="shared" ca="1" si="2"/>
        <v/>
      </c>
      <c r="Q11" s="299"/>
      <c r="R11" s="299" t="str">
        <f t="shared" ca="1" si="3"/>
        <v/>
      </c>
      <c r="S11" s="299"/>
      <c r="U11" s="116" t="s">
        <v>138</v>
      </c>
      <c r="V11" s="117" t="s">
        <v>138</v>
      </c>
      <c r="W11" s="117" t="s">
        <v>138</v>
      </c>
      <c r="X11" s="118"/>
      <c r="AB11" s="20" t="str">
        <f ca="1">M11</f>
        <v/>
      </c>
    </row>
    <row r="12" spans="1:28" ht="20.100000000000001" customHeight="1" thickTop="1" thickBot="1">
      <c r="A12" s="189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83"/>
      <c r="E12" s="4" t="str">
        <f>IF(AND(ISNUMBER(AanwezigReserve!F24),AanwezigReserve!F24&gt;=$F$1),AanwezigReserve!D24,"ZZZZ")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9" t="str">
        <f t="shared" ca="1" si="0"/>
        <v/>
      </c>
      <c r="L12" s="299"/>
      <c r="M12" s="299" t="str">
        <f t="shared" ca="1" si="1"/>
        <v/>
      </c>
      <c r="N12" s="299"/>
      <c r="O12" s="101" t="str">
        <f t="shared" si="4"/>
        <v>T 4</v>
      </c>
      <c r="P12" s="299" t="str">
        <f t="shared" ca="1" si="2"/>
        <v/>
      </c>
      <c r="Q12" s="299"/>
      <c r="R12" s="299" t="str">
        <f t="shared" ca="1" si="3"/>
        <v/>
      </c>
      <c r="S12" s="299"/>
      <c r="U12" s="119" t="s">
        <v>67</v>
      </c>
      <c r="W12" s="7"/>
      <c r="X12" s="120"/>
      <c r="Y12" s="85"/>
      <c r="AB12" s="20" t="str">
        <f ca="1">P11</f>
        <v/>
      </c>
    </row>
    <row r="13" spans="1:28" ht="20.100000000000001" customHeight="1" thickTop="1" thickBot="1">
      <c r="A13" s="189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83"/>
      <c r="E13" s="4" t="str">
        <f>IF(AND(ISNUMBER(AanwezigReserve!F31),AanwezigReserve!F31&gt;=$F$1),AanwezigReserve!D31,"ZZZZ")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5"/>
      <c r="I13"/>
      <c r="J13" s="60">
        <v>5</v>
      </c>
      <c r="K13" s="299" t="str">
        <f t="shared" ca="1" si="0"/>
        <v/>
      </c>
      <c r="L13" s="299"/>
      <c r="M13" s="299" t="str">
        <f t="shared" ca="1" si="1"/>
        <v/>
      </c>
      <c r="N13" s="299"/>
      <c r="O13" s="101" t="str">
        <f t="shared" si="4"/>
        <v>T 5</v>
      </c>
      <c r="P13" s="299" t="str">
        <f t="shared" ca="1" si="2"/>
        <v/>
      </c>
      <c r="Q13" s="299"/>
      <c r="R13" s="299" t="str">
        <f t="shared" ca="1" si="3"/>
        <v/>
      </c>
      <c r="S13" s="299"/>
      <c r="U13" s="119" t="s">
        <v>66</v>
      </c>
      <c r="W13" s="7"/>
      <c r="X13" s="120"/>
      <c r="Y13" s="85"/>
      <c r="AA13" s="7"/>
      <c r="AB13" s="20" t="str">
        <f ca="1">R11</f>
        <v/>
      </c>
    </row>
    <row r="14" spans="1:28" ht="20.100000000000001" customHeight="1" thickTop="1" thickBot="1">
      <c r="A14" s="189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83"/>
      <c r="E14" s="4" t="str">
        <f>IF(AND(ISNUMBER(AanwezigReserve!F21),AanwezigReserve!F21&gt;=$F$1),AanwezigReserve!D21,"ZZZZ")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6"/>
      <c r="I14"/>
      <c r="J14" s="60">
        <v>6</v>
      </c>
      <c r="K14" s="299" t="str">
        <f t="shared" ca="1" si="0"/>
        <v/>
      </c>
      <c r="L14" s="299"/>
      <c r="M14" s="299" t="str">
        <f t="shared" ca="1" si="1"/>
        <v/>
      </c>
      <c r="N14" s="299"/>
      <c r="O14" s="101" t="str">
        <f t="shared" si="4"/>
        <v>T 6</v>
      </c>
      <c r="P14" s="299" t="str">
        <f t="shared" ca="1" si="2"/>
        <v/>
      </c>
      <c r="Q14" s="299"/>
      <c r="R14" s="299" t="str">
        <f t="shared" ca="1" si="3"/>
        <v/>
      </c>
      <c r="S14" s="299"/>
      <c r="U14" s="121" t="s">
        <v>136</v>
      </c>
      <c r="V14" s="122"/>
      <c r="W14" s="122"/>
      <c r="X14" s="123"/>
      <c r="Y14" s="85"/>
      <c r="AA14" s="7">
        <f t="shared" ref="AA14" si="6">AA10+1</f>
        <v>4</v>
      </c>
      <c r="AB14" s="19" t="str">
        <f ca="1">K12</f>
        <v/>
      </c>
    </row>
    <row r="15" spans="1:28" ht="20.100000000000001" customHeight="1" thickTop="1" thickBot="1">
      <c r="A15" s="189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83"/>
      <c r="E15" s="4" t="str">
        <f>IF(AND(ISNUMBER(AanwezigReserve!F25),AanwezigReserve!F25&gt;=$F$1),AanwezigReserve!D25,"ZZZZ")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6"/>
      <c r="I15"/>
      <c r="J15" s="60">
        <v>7</v>
      </c>
      <c r="K15" s="299" t="str">
        <f t="shared" ca="1" si="0"/>
        <v/>
      </c>
      <c r="L15" s="299"/>
      <c r="M15" s="299" t="str">
        <f t="shared" ca="1" si="1"/>
        <v/>
      </c>
      <c r="N15" s="299"/>
      <c r="O15" s="101" t="str">
        <f t="shared" si="4"/>
        <v>T 7</v>
      </c>
      <c r="P15" s="299" t="str">
        <f t="shared" ca="1" si="2"/>
        <v/>
      </c>
      <c r="Q15" s="299"/>
      <c r="R15" s="299" t="str">
        <f t="shared" ca="1" si="3"/>
        <v/>
      </c>
      <c r="S15" s="299"/>
      <c r="V15" s="86"/>
      <c r="W15" s="85"/>
      <c r="X15" s="85"/>
      <c r="Y15" s="85"/>
      <c r="AB15" s="20" t="str">
        <f ca="1">M12</f>
        <v/>
      </c>
    </row>
    <row r="16" spans="1:28" ht="20.100000000000001" customHeight="1" thickTop="1" thickBot="1">
      <c r="A16" s="189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83"/>
      <c r="E16" s="4" t="str">
        <f>IF(AND(ISNUMBER(AanwezigReserve!F42),AanwezigReserve!F42&gt;=$F$1),AanwezigReserve!D42,"ZZZZ")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7"/>
      <c r="I16"/>
      <c r="J16" s="60">
        <v>8</v>
      </c>
      <c r="K16" s="299" t="str">
        <f t="shared" ca="1" si="0"/>
        <v/>
      </c>
      <c r="L16" s="299"/>
      <c r="M16" s="299" t="str">
        <f t="shared" ca="1" si="1"/>
        <v/>
      </c>
      <c r="N16" s="299"/>
      <c r="O16" s="101" t="str">
        <f t="shared" si="4"/>
        <v>T 8</v>
      </c>
      <c r="P16" s="299" t="str">
        <f t="shared" ca="1" si="2"/>
        <v/>
      </c>
      <c r="Q16" s="299"/>
      <c r="R16" s="299" t="str">
        <f t="shared" ca="1" si="3"/>
        <v/>
      </c>
      <c r="S16" s="299"/>
      <c r="U16" s="115"/>
      <c r="W16" s="85"/>
      <c r="X16" s="85"/>
      <c r="Y16" s="85"/>
      <c r="AB16" s="20" t="str">
        <f ca="1">P12</f>
        <v/>
      </c>
    </row>
    <row r="17" spans="1:28" ht="20.100000000000001" customHeight="1" thickTop="1" thickBot="1">
      <c r="A17" s="189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83"/>
      <c r="E17" s="4" t="str">
        <f>IF(AND(ISNUMBER(AanwezigReserve!F26),AanwezigReserve!F26&gt;=$F$1),AanwezigReserve!D26,"ZZZZ")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6"/>
      <c r="I17"/>
      <c r="J17" s="60">
        <v>9</v>
      </c>
      <c r="K17" s="299" t="str">
        <f t="shared" ca="1" si="0"/>
        <v/>
      </c>
      <c r="L17" s="299"/>
      <c r="M17" s="299" t="str">
        <f t="shared" ca="1" si="1"/>
        <v/>
      </c>
      <c r="N17" s="299"/>
      <c r="O17" s="101" t="str">
        <f t="shared" si="4"/>
        <v>T 9</v>
      </c>
      <c r="P17" s="299" t="str">
        <f t="shared" ca="1" si="2"/>
        <v/>
      </c>
      <c r="Q17" s="299"/>
      <c r="R17" s="299" t="str">
        <f t="shared" ca="1" si="3"/>
        <v/>
      </c>
      <c r="S17" s="299"/>
      <c r="U17" s="115"/>
      <c r="W17" s="85"/>
      <c r="X17" s="85"/>
      <c r="Y17" s="85"/>
      <c r="AA17" s="7"/>
      <c r="AB17" s="20" t="str">
        <f ca="1">R12</f>
        <v/>
      </c>
    </row>
    <row r="18" spans="1:28" ht="20.100000000000001" customHeight="1" thickTop="1" thickBot="1">
      <c r="A18" s="189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83"/>
      <c r="E18" s="4" t="str">
        <f>IF(AND(ISNUMBER(AanwezigReserve!F22),AanwezigReserve!F22&gt;=$F$1),AanwezigReserve!D22,"ZZZZ")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6"/>
      <c r="I18"/>
      <c r="J18" s="60">
        <v>10</v>
      </c>
      <c r="K18" s="299" t="str">
        <f t="shared" ca="1" si="0"/>
        <v/>
      </c>
      <c r="L18" s="299"/>
      <c r="M18" s="299" t="str">
        <f t="shared" ca="1" si="1"/>
        <v/>
      </c>
      <c r="N18" s="299"/>
      <c r="O18" s="101" t="str">
        <f t="shared" si="4"/>
        <v>T 10</v>
      </c>
      <c r="P18" s="299" t="str">
        <f t="shared" ca="1" si="2"/>
        <v/>
      </c>
      <c r="Q18" s="299"/>
      <c r="R18" s="299" t="str">
        <f t="shared" ca="1" si="3"/>
        <v/>
      </c>
      <c r="S18" s="299"/>
      <c r="U18" s="115"/>
      <c r="W18" s="85"/>
      <c r="X18" s="85"/>
      <c r="Y18" s="85"/>
      <c r="AA18" s="7">
        <f t="shared" ref="AA18" si="7">AA14+1</f>
        <v>5</v>
      </c>
      <c r="AB18" s="19" t="str">
        <f ca="1">K13</f>
        <v/>
      </c>
    </row>
    <row r="19" spans="1:28" ht="20.100000000000001" customHeight="1" thickTop="1" thickBot="1">
      <c r="A19" s="189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83"/>
      <c r="E19" s="4" t="str">
        <f>IF(AND(ISNUMBER(AanwezigReserve!F17),AanwezigReserve!F17&gt;=$F$1),AanwezigReserve!D17,"ZZZZ")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7"/>
      <c r="I19"/>
      <c r="J19" s="60">
        <v>11</v>
      </c>
      <c r="K19" s="299" t="str">
        <f t="shared" ca="1" si="0"/>
        <v/>
      </c>
      <c r="L19" s="299"/>
      <c r="M19" s="299" t="str">
        <f t="shared" ca="1" si="1"/>
        <v/>
      </c>
      <c r="N19" s="299"/>
      <c r="O19" s="101" t="str">
        <f t="shared" si="4"/>
        <v>T 11</v>
      </c>
      <c r="P19" s="299" t="str">
        <f t="shared" ca="1" si="2"/>
        <v/>
      </c>
      <c r="Q19" s="299"/>
      <c r="R19" s="299" t="str">
        <f t="shared" ca="1" si="3"/>
        <v/>
      </c>
      <c r="S19" s="299"/>
      <c r="U19" s="115"/>
      <c r="W19" s="85"/>
      <c r="X19" s="85"/>
      <c r="Y19" s="85"/>
      <c r="AB19" s="20" t="str">
        <f ca="1">M13</f>
        <v/>
      </c>
    </row>
    <row r="20" spans="1:28" ht="17.25" customHeight="1" thickTop="1" thickBot="1">
      <c r="A20" s="189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83"/>
      <c r="E20" s="4" t="str">
        <f>IF(AND(ISNUMBER(AanwezigReserve!F19),AanwezigReserve!F19&gt;=$F$1),AanwezigReserve!D19,"ZZZZ")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6"/>
      <c r="I20"/>
      <c r="J20" s="60">
        <v>12</v>
      </c>
      <c r="K20" s="299" t="str">
        <f t="shared" ca="1" si="0"/>
        <v/>
      </c>
      <c r="L20" s="299"/>
      <c r="M20" s="299" t="str">
        <f t="shared" ca="1" si="1"/>
        <v/>
      </c>
      <c r="N20" s="299"/>
      <c r="O20" s="101" t="str">
        <f t="shared" si="4"/>
        <v>T 12</v>
      </c>
      <c r="P20" s="299" t="str">
        <f t="shared" ca="1" si="2"/>
        <v/>
      </c>
      <c r="Q20" s="299"/>
      <c r="R20" s="299" t="str">
        <f t="shared" ca="1" si="3"/>
        <v/>
      </c>
      <c r="S20" s="299"/>
      <c r="U20" s="115"/>
      <c r="V20" s="115"/>
      <c r="W20" s="85"/>
      <c r="X20" s="85"/>
      <c r="Y20" s="85"/>
      <c r="AB20" s="20" t="str">
        <f ca="1">P13</f>
        <v/>
      </c>
    </row>
    <row r="21" spans="1:28" ht="19.5" thickTop="1" thickBot="1">
      <c r="A21" s="189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83"/>
      <c r="E21" s="4" t="str">
        <f>IF(AND(ISNUMBER(AanwezigReserve!F5),AanwezigReserve!F5&gt;=$F$1),AanwezigReserve!D5,"ZZZZ")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6"/>
      <c r="I21"/>
      <c r="J21" s="60">
        <v>13</v>
      </c>
      <c r="K21" s="299" t="str">
        <f t="shared" ca="1" si="0"/>
        <v/>
      </c>
      <c r="L21" s="299"/>
      <c r="M21" s="299" t="str">
        <f t="shared" ca="1" si="1"/>
        <v/>
      </c>
      <c r="N21" s="299"/>
      <c r="O21" s="101" t="str">
        <f t="shared" ref="O21" si="8">"T "&amp;J21</f>
        <v>T 13</v>
      </c>
      <c r="P21" s="299" t="str">
        <f t="shared" ca="1" si="2"/>
        <v/>
      </c>
      <c r="Q21" s="299"/>
      <c r="R21" s="299" t="str">
        <f t="shared" ca="1" si="3"/>
        <v/>
      </c>
      <c r="S21" s="299"/>
      <c r="U21" s="115"/>
      <c r="W21" s="85"/>
      <c r="X21" s="85"/>
      <c r="Y21" s="85"/>
      <c r="AA21" s="7"/>
      <c r="AB21" s="20" t="str">
        <f ca="1">R13</f>
        <v/>
      </c>
    </row>
    <row r="22" spans="1:28" ht="19.5" thickTop="1" thickBot="1">
      <c r="A22" s="189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83"/>
      <c r="E22" s="4" t="str">
        <f>IF(AND(ISNUMBER(AanwezigReserve!F3),AanwezigReserve!F3&gt;=$F$1),AanwezigReserve!D3,"ZZZZ")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7"/>
      <c r="I22"/>
      <c r="J22" s="60">
        <v>14</v>
      </c>
      <c r="K22" s="299" t="str">
        <f t="shared" ca="1" si="0"/>
        <v/>
      </c>
      <c r="L22" s="299"/>
      <c r="M22" s="299" t="str">
        <f t="shared" ca="1" si="1"/>
        <v/>
      </c>
      <c r="N22" s="299"/>
      <c r="O22" s="101" t="str">
        <f t="shared" ref="O22" si="9">"T "&amp;J22</f>
        <v>T 14</v>
      </c>
      <c r="P22" s="299" t="str">
        <f t="shared" ca="1" si="2"/>
        <v/>
      </c>
      <c r="Q22" s="299"/>
      <c r="R22" s="299" t="str">
        <f t="shared" ca="1" si="3"/>
        <v/>
      </c>
      <c r="S22" s="299"/>
      <c r="W22" s="85"/>
      <c r="X22" s="85"/>
      <c r="Y22" s="85"/>
      <c r="AA22" s="7">
        <f t="shared" ref="AA22" si="10">AA18+1</f>
        <v>6</v>
      </c>
      <c r="AB22" s="19" t="str">
        <f ca="1">K14</f>
        <v/>
      </c>
    </row>
    <row r="23" spans="1:28" ht="19.5" thickTop="1" thickBot="1">
      <c r="A23" s="189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83"/>
      <c r="E23" s="4" t="str">
        <f>IF(AND(ISNUMBER(AanwezigReserve!F4),AanwezigReserve!F4&gt;=$F$1),AanwezigReserve!D4,"ZZZZ")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6"/>
      <c r="J23" s="56"/>
      <c r="M23" s="94"/>
      <c r="N23" s="94"/>
      <c r="W23" s="85"/>
      <c r="X23" s="85"/>
      <c r="Y23" s="85"/>
      <c r="AB23" s="20" t="str">
        <f ca="1">M14</f>
        <v/>
      </c>
    </row>
    <row r="24" spans="1:28" ht="17.25" thickTop="1" thickBot="1">
      <c r="A24" s="189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83"/>
      <c r="E24" s="4" t="str">
        <f>IF(AND(ISNUMBER(AanwezigReserve!F23),AanwezigReserve!F23&gt;=$F$1),AanwezigReserve!D23,"ZZZZ")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8"/>
      <c r="I24" s="3" t="s">
        <v>148</v>
      </c>
      <c r="J24" s="56"/>
      <c r="N24" s="94"/>
      <c r="Q24" s="10" t="s">
        <v>0</v>
      </c>
      <c r="W24" s="85"/>
      <c r="X24" s="85"/>
      <c r="Y24" s="85"/>
      <c r="AB24" s="20" t="str">
        <f ca="1">P14</f>
        <v/>
      </c>
    </row>
    <row r="25" spans="1:28" ht="17.25" thickTop="1" thickBot="1">
      <c r="A25" s="189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83"/>
      <c r="E25" s="4" t="str">
        <f>IF(AND(ISNUMBER(AanwezigReserve!F6),AanwezigReserve!F6&gt;=$F$1),AanwezigReserve!D6,"ZZZZ")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8"/>
      <c r="I25" t="e">
        <f>MATCH("R",$D$5:$D$99,0)</f>
        <v>#N/A</v>
      </c>
      <c r="J25" s="56"/>
      <c r="N25" s="94"/>
      <c r="Q25" s="7" t="s">
        <v>1</v>
      </c>
      <c r="R25" s="7" t="str">
        <f ca="1">IF($D$4&gt;=1,INDEX(E$5:E$56,I25),"")</f>
        <v/>
      </c>
      <c r="W25" s="85"/>
      <c r="X25" s="85"/>
      <c r="Y25" s="85"/>
      <c r="AA25" s="7"/>
      <c r="AB25" s="20" t="str">
        <f ca="1">R14</f>
        <v/>
      </c>
    </row>
    <row r="26" spans="1:28" ht="17.25" customHeight="1" thickTop="1" thickBot="1">
      <c r="A26" s="189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83"/>
      <c r="E26" s="4" t="str">
        <f>IF(AND(ISNUMBER(AanwezigReserve!F49),AanwezigReserve!F49&gt;=$F$1),AanwezigReserve!D49,"ZZZZ")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5"/>
      <c r="X26" s="85"/>
      <c r="Y26" s="85"/>
      <c r="AA26" s="7">
        <f t="shared" ref="AA26" si="11">AA22+1</f>
        <v>7</v>
      </c>
      <c r="AB26" s="19" t="str">
        <f ca="1">K15</f>
        <v/>
      </c>
    </row>
    <row r="27" spans="1:28" ht="17.25" thickTop="1" thickBot="1">
      <c r="A27" s="189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83"/>
      <c r="E27" s="4" t="str">
        <f>IF(AND(ISNUMBER(AanwezigReserve!F43),AanwezigReserve!F43&gt;=$F$1),AanwezigReserve!D43,"ZZZZ")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5"/>
      <c r="X27" s="85"/>
      <c r="Y27" s="85"/>
      <c r="AB27" s="20" t="str">
        <f ca="1">M15</f>
        <v/>
      </c>
    </row>
    <row r="28" spans="1:28" ht="20.100000000000001" customHeight="1" thickTop="1" thickBot="1">
      <c r="A28" s="189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83"/>
      <c r="E28" s="4" t="str">
        <f>IF(AND(ISNUMBER(AanwezigReserve!F44),AanwezigReserve!F44&gt;=$F$1),AanwezigReserve!D44,"ZZZZ")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5"/>
      <c r="X28" s="85"/>
      <c r="Y28" s="85"/>
      <c r="AB28" s="20" t="str">
        <f ca="1">P15</f>
        <v/>
      </c>
    </row>
    <row r="29" spans="1:28" ht="15.75" customHeight="1" thickTop="1" thickBot="1">
      <c r="A29" s="189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83"/>
      <c r="E29" s="4" t="str">
        <f>IF(AND(ISNUMBER(AanwezigReserve!F12),AanwezigReserve!F12&gt;=$F$1),AanwezigReserve!D12,"ZZZZ")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1">
        <f ca="1">S29</f>
        <v>45985</v>
      </c>
      <c r="S29" s="111">
        <f ca="1">$R$2</f>
        <v>45985</v>
      </c>
      <c r="T29" s="37"/>
      <c r="W29" s="85"/>
      <c r="X29" s="85"/>
      <c r="Y29" s="85"/>
      <c r="AB29" s="19" t="str">
        <f ca="1">R15</f>
        <v/>
      </c>
    </row>
    <row r="30" spans="1:28" ht="15.75" customHeight="1" thickTop="1" thickBot="1">
      <c r="A30" s="189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83"/>
      <c r="E30" s="4" t="str">
        <f>IF(AND(ISNUMBER(AanwezigReserve!F39),AanwezigReserve!F39&gt;=$F$1),AanwezigReserve!D39,"ZZZZ")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5"/>
      <c r="X30" s="85"/>
      <c r="Y30" s="85"/>
      <c r="AA30" s="7">
        <f>AA26+1</f>
        <v>8</v>
      </c>
      <c r="AB30" s="20" t="str">
        <f ca="1">K16</f>
        <v/>
      </c>
    </row>
    <row r="31" spans="1:28" ht="15.75" customHeight="1" thickTop="1" thickBot="1">
      <c r="A31" s="189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83"/>
      <c r="E31" s="4" t="str">
        <f>IF(AND(ISNUMBER(AanwezigReserve!F7),AanwezigReserve!F7&gt;=$F$1),AanwezigReserve!D7,"ZZZZ")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21">
        <f>$O$6</f>
        <v>5</v>
      </c>
      <c r="N31" s="222">
        <f>$J$9</f>
        <v>1</v>
      </c>
      <c r="O31" s="2"/>
      <c r="P31" s="2"/>
      <c r="Q31" s="94"/>
      <c r="R31" s="223">
        <f>$M$31</f>
        <v>5</v>
      </c>
      <c r="S31" s="224">
        <f>$J$10</f>
        <v>2</v>
      </c>
      <c r="T31" s="11"/>
      <c r="W31" s="85"/>
      <c r="X31" s="85"/>
      <c r="Y31" s="85"/>
      <c r="AB31" s="20" t="str">
        <f ca="1">M16</f>
        <v/>
      </c>
    </row>
    <row r="32" spans="1:28" ht="15.75" customHeight="1" thickTop="1" thickBot="1">
      <c r="A32" s="189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83"/>
      <c r="E32" s="4" t="str">
        <f>IF(AND(ISNUMBER(AanwezigReserve!F10),AanwezigReserve!F10&gt;=$F$1),AanwezigReserve!D10,"ZZZZ")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2"/>
      <c r="N32" s="11"/>
      <c r="O32" s="2"/>
      <c r="P32" s="2"/>
      <c r="R32" s="102"/>
      <c r="S32" s="11"/>
      <c r="W32" s="85"/>
      <c r="X32" s="85"/>
      <c r="Y32" s="85"/>
      <c r="AB32" s="20" t="str">
        <f ca="1">P16</f>
        <v/>
      </c>
    </row>
    <row r="33" spans="1:32" ht="15.75" customHeight="1" thickTop="1" thickBot="1">
      <c r="A33" s="189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83"/>
      <c r="E33" s="4" t="str">
        <f>IF(AND(ISNUMBER(AanwezigReserve!F33),AanwezigReserve!F33&gt;=$F$1),AanwezigReserve!D33,"ZZZZ")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3"/>
      <c r="L33" s="103"/>
      <c r="M33" s="103"/>
      <c r="N33" s="103"/>
      <c r="O33" s="2"/>
      <c r="T33" s="39"/>
      <c r="W33" s="85"/>
      <c r="X33" s="85"/>
      <c r="Y33" s="85"/>
      <c r="AA33" s="7"/>
      <c r="AB33" s="20" t="str">
        <f ca="1">R16</f>
        <v/>
      </c>
    </row>
    <row r="34" spans="1:32" ht="15.75" customHeight="1" thickTop="1" thickBot="1">
      <c r="A34" s="189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83"/>
      <c r="E34" s="4" t="str">
        <f>IF(AND(ISNUMBER(AanwezigReserve!F45),AanwezigReserve!F45&gt;=$F$1),AanwezigReserve!D45,"ZZZZ")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20" t="e">
        <f ca="1">VLOOKUP(K9,AanwezigReserve!$D:$E,2,0)</f>
        <v>#N/A</v>
      </c>
      <c r="L34" s="103" t="e">
        <f ca="1">VLOOKUP(M9,AanwezigReserve!$D:$E,2,0)</f>
        <v>#N/A</v>
      </c>
      <c r="M34" s="103" t="e">
        <f ca="1">VLOOKUP(P9,AanwezigReserve!$D:$E,2,0)</f>
        <v>#N/A</v>
      </c>
      <c r="N34" s="39" t="e">
        <f ca="1">VLOOKUP(R9,AanwezigReserve!$D:$E,2,0)</f>
        <v>#N/A</v>
      </c>
      <c r="P34" s="103" t="e">
        <f ca="1">VLOOKUP(K10,AanwezigReserve!$D:$E,2,0)</f>
        <v>#N/A</v>
      </c>
      <c r="Q34" s="103" t="e">
        <f ca="1">VLOOKUP(M10,AanwezigReserve!$D:$E,2,0)</f>
        <v>#N/A</v>
      </c>
      <c r="R34" s="103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 t="shared" ref="AA34" si="12">AA30+1</f>
        <v>9</v>
      </c>
      <c r="AB34" s="19" t="str">
        <f ca="1">K17</f>
        <v/>
      </c>
    </row>
    <row r="35" spans="1:32" ht="15.75" customHeight="1" thickTop="1" thickBot="1">
      <c r="A35" s="189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83"/>
      <c r="E35" s="4" t="str">
        <f>IF(AND(ISNUMBER(AanwezigReserve!F36),AanwezigReserve!F36&gt;=$F$1),AanwezigReserve!D36,"ZZZZ")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89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83"/>
      <c r="E36" s="4" t="str">
        <f>IF(AND(ISNUMBER(AanwezigReserve!F15),AanwezigReserve!F15&gt;=$F$1),AanwezigReserve!D15,"ZZZZ")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3"/>
      <c r="L36" s="2"/>
      <c r="N36" s="111">
        <f ca="1">N29</f>
        <v>45985</v>
      </c>
      <c r="O36" s="104"/>
      <c r="P36" s="104"/>
      <c r="Q36" s="104"/>
      <c r="R36" s="105"/>
      <c r="S36" s="111">
        <f ca="1">S29</f>
        <v>45985</v>
      </c>
      <c r="T36" s="12"/>
      <c r="AB36" s="20" t="str">
        <f ca="1">P17</f>
        <v/>
      </c>
    </row>
    <row r="37" spans="1:32" ht="15.75" customHeight="1" thickTop="1" thickBot="1">
      <c r="A37" s="189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83"/>
      <c r="E37" s="4" t="str">
        <f>IF(AND(ISNUMBER(AanwezigReserve!F9),AanwezigReserve!F9&gt;=$F$1),AanwezigReserve!D9,"ZZZZ")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4"/>
      <c r="P37" s="104"/>
      <c r="Q37" s="104"/>
      <c r="R37" s="105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89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83"/>
      <c r="E38" s="4" t="str">
        <f>IF(AND(ISNUMBER(AanwezigReserve!F41),AanwezigReserve!F41&gt;=$F$1),AanwezigReserve!D41,"ZZZZ")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212">
        <f>M31</f>
        <v>5</v>
      </c>
      <c r="N38" s="213">
        <f>J11</f>
        <v>3</v>
      </c>
      <c r="O38" s="2"/>
      <c r="P38" s="2"/>
      <c r="R38" s="102">
        <f>R31</f>
        <v>5</v>
      </c>
      <c r="S38" s="211">
        <f>J12</f>
        <v>4</v>
      </c>
      <c r="T38" s="8"/>
      <c r="U38" s="2"/>
      <c r="V38" s="9"/>
      <c r="W38" s="37"/>
      <c r="X38" s="38"/>
      <c r="Y38" s="38"/>
      <c r="Z38" s="37"/>
      <c r="AA38" s="7">
        <f t="shared" ref="AA38" si="13"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89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83"/>
      <c r="E39" s="4" t="str">
        <f>IF(AND(ISNUMBER(AanwezigReserve!F13),AanwezigReserve!F13&gt;=$F$1),AanwezigReserve!D13,"ZZZZ")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2"/>
      <c r="N39" s="11"/>
      <c r="O39" s="2"/>
      <c r="P39" s="2"/>
      <c r="R39" s="102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89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83"/>
      <c r="E40" s="4" t="str">
        <f>IF(AND(ISNUMBER(AanwezigReserve!F48),AanwezigReserve!F48&gt;=$F$1),AanwezigReserve!D48,"ZZZZ")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89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83"/>
      <c r="E41" s="4" t="str">
        <f>IF(AND(ISNUMBER(AanwezigReserve!F8),AanwezigReserve!F8&gt;=$F$1),AanwezigReserve!D8,"ZZZZ")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20" t="e">
        <f ca="1">VLOOKUP(K11,AanwezigReserve!$D:$E,2,0)</f>
        <v>#N/A</v>
      </c>
      <c r="L41" s="103" t="e">
        <f ca="1">VLOOKUP(M11,AanwezigReserve!$D:$E,2,0)</f>
        <v>#N/A</v>
      </c>
      <c r="M41" s="103" t="e">
        <f ca="1">VLOOKUP(P11,AanwezigReserve!$D:$E,2,0)</f>
        <v>#N/A</v>
      </c>
      <c r="N41" s="39" t="e">
        <f ca="1">VLOOKUP(R11,AanwezigReserve!$D:$E,2,0)</f>
        <v>#N/A</v>
      </c>
      <c r="O41" s="39"/>
      <c r="P41" s="103" t="e">
        <f ca="1">VLOOKUP(K12,AanwezigReserve!$D:$E,2,0)</f>
        <v>#N/A</v>
      </c>
      <c r="Q41" s="103" t="e">
        <f ca="1">VLOOKUP(M12,AanwezigReserve!$D:$E,2,0)</f>
        <v>#N/A</v>
      </c>
      <c r="R41" s="103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89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83"/>
      <c r="E42" s="4" t="str">
        <f>IF(AND(ISNUMBER(AanwezigReserve!F27),AanwezigReserve!F27&gt;=$F$1),AanwezigReserve!D27,"ZZZZ")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 t="shared" ref="AA42" si="14">AA38+1</f>
        <v>11</v>
      </c>
      <c r="AB42" s="19" t="str">
        <f ca="1">K19</f>
        <v/>
      </c>
    </row>
    <row r="43" spans="1:32" ht="15.75" customHeight="1" thickTop="1" thickBot="1">
      <c r="A43" s="189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83"/>
      <c r="E43" s="4" t="str">
        <f>IF(AND(ISNUMBER(AanwezigReserve!F30),AanwezigReserve!F30&gt;=$F$1),AanwezigReserve!D30,"ZZZZ")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1">
        <f ca="1">N36</f>
        <v>45985</v>
      </c>
      <c r="O43" s="104"/>
      <c r="P43" s="104"/>
      <c r="Q43" s="104"/>
      <c r="R43" s="105"/>
      <c r="S43" s="111">
        <f ca="1">S36</f>
        <v>45985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89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83"/>
      <c r="E44" s="4" t="str">
        <f>IF(AND(ISNUMBER(AanwezigReserve!F18),AanwezigReserve!F18&gt;=$F$1),AanwezigReserve!D18,"ZZZZ")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219"/>
      <c r="P44" s="219"/>
      <c r="Q44" s="21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89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83"/>
      <c r="E45" s="4" t="str">
        <f>IF(AND(ISNUMBER(AanwezigReserve!F14),AanwezigReserve!F14&gt;=$F$1),AanwezigReserve!D14,"ZZZZ")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212">
        <f>M38</f>
        <v>5</v>
      </c>
      <c r="N45" s="213">
        <f>J13</f>
        <v>5</v>
      </c>
      <c r="O45" s="2"/>
      <c r="P45" s="2"/>
      <c r="Q45" s="7"/>
      <c r="R45" s="102">
        <f>R38</f>
        <v>5</v>
      </c>
      <c r="S45" s="211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89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83"/>
      <c r="E46" s="4" t="str">
        <f>IF(AND(ISNUMBER(AanwezigReserve!F16),AanwezigReserve!F16&gt;=$F$1),AanwezigReserve!D16,"ZZZZ")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2"/>
      <c r="N46" s="11"/>
      <c r="O46" s="2"/>
      <c r="P46" s="2"/>
      <c r="Q46" s="7"/>
      <c r="R46" s="102"/>
      <c r="S46" s="11"/>
      <c r="T46" s="39"/>
      <c r="AA46" s="7">
        <f t="shared" ref="AA46" si="15">AA42+1</f>
        <v>12</v>
      </c>
      <c r="AB46" s="19" t="str">
        <f ca="1">K20</f>
        <v/>
      </c>
    </row>
    <row r="47" spans="1:32" s="1" customFormat="1" ht="15.75" customHeight="1" thickTop="1" thickBot="1">
      <c r="A47" s="189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83"/>
      <c r="E47" s="4" t="str">
        <f>IF(AND(ISNUMBER(AanwezigReserve!F28),AanwezigReserve!F28&gt;=$F$1),AanwezigReserve!D28,"ZZZZ")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89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83"/>
      <c r="E48" s="4" t="str">
        <f>IF(AND(ISNUMBER(AanwezigReserve!F29),AanwezigReserve!F29&gt;=$F$1),AanwezigReserve!D29,"ZZZZ")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20" t="e">
        <f ca="1">VLOOKUP(K13,AanwezigReserve!$D:$E,2,0)</f>
        <v>#N/A</v>
      </c>
      <c r="L48" s="103" t="e">
        <f ca="1">VLOOKUP(M13,AanwezigReserve!$D:$E,2,0)</f>
        <v>#N/A</v>
      </c>
      <c r="M48" s="103" t="e">
        <f ca="1">VLOOKUP(P13,AanwezigReserve!$D:$E,2,0)</f>
        <v>#N/A</v>
      </c>
      <c r="N48" s="39" t="e">
        <f ca="1">VLOOKUP(R13,AanwezigReserve!$D:$E,2,0)</f>
        <v>#N/A</v>
      </c>
      <c r="O48" s="39"/>
      <c r="P48" s="103" t="e">
        <f ca="1">VLOOKUP(K14,AanwezigReserve!$D:$E,2,0)</f>
        <v>#N/A</v>
      </c>
      <c r="Q48" s="103" t="e">
        <f ca="1">VLOOKUP(M14,AanwezigReserve!$D:$E,2,0)</f>
        <v>#N/A</v>
      </c>
      <c r="R48" s="103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89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83"/>
      <c r="E49" s="4" t="str">
        <f>IF(AND(ISNUMBER(AanwezigReserve!F35),AanwezigReserve!F35&gt;=$F$1),AanwezigReserve!D35,"ZZZZ")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89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83"/>
      <c r="E50" s="4" t="str">
        <f>IF(AND(ISNUMBER(AanwezigReserve!F38),AanwezigReserve!F38&gt;=$F$1),AanwezigReserve!D38,"ZZZZ")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1">
        <f ca="1">N43</f>
        <v>45985</v>
      </c>
      <c r="O50" s="106"/>
      <c r="P50" s="106"/>
      <c r="Q50" s="106"/>
      <c r="R50" s="107"/>
      <c r="S50" s="111">
        <f ca="1">S43</f>
        <v>45985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89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83"/>
      <c r="E51" s="4" t="str">
        <f>IF(AND(ISNUMBER(AanwezigReserve!F40),AanwezigReserve!F40&gt;=$F$1),AanwezigReserve!D40,"ZZZZ")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89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83"/>
      <c r="E52" s="4" t="str">
        <f>IF(AND(ISNUMBER(AanwezigReserve!F50),AanwezigReserve!F50&gt;=$F$1),AanwezigReserve!D50,"ZZZZ")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212">
        <f>M45</f>
        <v>5</v>
      </c>
      <c r="N52" s="213">
        <f>J15</f>
        <v>7</v>
      </c>
      <c r="O52" s="2"/>
      <c r="P52" s="2"/>
      <c r="Q52" s="7"/>
      <c r="R52" s="102">
        <f>R45</f>
        <v>5</v>
      </c>
      <c r="S52" s="211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89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83"/>
      <c r="E53" s="4" t="str">
        <f>IF(AND(ISNUMBER(AanwezigReserve!F51),AanwezigReserve!F51&gt;=$F$1),AanwezigReserve!D51,"ZZZZ")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2"/>
      <c r="N53" s="11"/>
      <c r="O53" s="2"/>
      <c r="P53" s="2"/>
      <c r="Q53" s="7"/>
      <c r="R53" s="102"/>
      <c r="S53" s="11"/>
      <c r="T53" s="8"/>
      <c r="AB53" s="20" t="str">
        <f ca="1">R20</f>
        <v/>
      </c>
    </row>
    <row r="54" spans="1:28" s="1" customFormat="1" ht="15.75" customHeight="1" thickTop="1" thickBot="1">
      <c r="A54" s="189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83"/>
      <c r="E54" s="4" t="str">
        <f>IF(AND(ISNUMBER(AanwezigReserve!F52),AanwezigReserve!F52&gt;=$F$1),AanwezigReserve!D52,"ZZZZ")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89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84"/>
      <c r="E55" s="4" t="str">
        <f>IF(AND(ISNUMBER(AanwezigReserve!F53),AanwezigReserve!F53&gt;=$F$1),AanwezigReserve!D53,"ZZZZ")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20" t="e">
        <f ca="1">VLOOKUP(K15,AanwezigReserve!$D:$E,2,0)</f>
        <v>#N/A</v>
      </c>
      <c r="L55" s="103" t="e">
        <f ca="1">VLOOKUP(M15,AanwezigReserve!$D:$E,2,0)</f>
        <v>#N/A</v>
      </c>
      <c r="M55" s="103" t="e">
        <f ca="1">VLOOKUP(P15,AanwezigReserve!$D:$E,2,0)</f>
        <v>#N/A</v>
      </c>
      <c r="N55" s="39" t="e">
        <f ca="1">VLOOKUP(R15,AanwezigReserve!$D:$E,2,0)</f>
        <v>#N/A</v>
      </c>
      <c r="O55" s="39"/>
      <c r="P55" s="103" t="e">
        <f ca="1">VLOOKUP(K16,AanwezigReserve!$D:$E,2,0)</f>
        <v>#N/A</v>
      </c>
      <c r="Q55" s="103" t="e">
        <f ca="1">VLOOKUP(M16,AanwezigReserve!$D:$E,2,0)</f>
        <v>#N/A</v>
      </c>
      <c r="R55" s="103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89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83"/>
      <c r="E56" s="4" t="str">
        <f>IF(AND(ISNUMBER(AanwezigReserve!F54),AanwezigReserve!F54&gt;=$F$1),AanwezigReserve!D54,"ZZZZ")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89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83"/>
      <c r="E57" s="4" t="str">
        <f>IF(AND(ISNUMBER(AanwezigReserve!F55),AanwezigReserve!F55&gt;=$F$1),AanwezigReserve!D55,"ZZZZ")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1">
        <f ca="1">N50</f>
        <v>45985</v>
      </c>
      <c r="O57" s="106"/>
      <c r="P57" s="106"/>
      <c r="Q57" s="106"/>
      <c r="R57" s="107"/>
      <c r="S57" s="111">
        <f ca="1">S50</f>
        <v>45985</v>
      </c>
      <c r="T57" s="8"/>
      <c r="AB57" s="20" t="str">
        <f ca="1">R22</f>
        <v/>
      </c>
    </row>
    <row r="58" spans="1:28" s="1" customFormat="1" ht="15.75" customHeight="1" thickTop="1" thickBot="1">
      <c r="A58" s="189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83"/>
      <c r="E58" s="4" t="str">
        <f>IF(AND(ISNUMBER(AanwezigReserve!F56),AanwezigReserve!F56&gt;=$F$1),AanwezigReserve!D56,"ZZZZ")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89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85"/>
      <c r="E59" s="4" t="str">
        <f>IF(AND(ISNUMBER(AanwezigReserve!F57),AanwezigReserve!F57&gt;=$F$1),AanwezigReserve!D57,"ZZZZ")</f>
        <v>ZZZZ</v>
      </c>
      <c r="F59" s="114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212">
        <f>M52</f>
        <v>5</v>
      </c>
      <c r="N59" s="213">
        <f>J17</f>
        <v>9</v>
      </c>
      <c r="O59" s="2"/>
      <c r="P59" s="2"/>
      <c r="Q59" s="7"/>
      <c r="R59" s="102">
        <f>R52</f>
        <v>5</v>
      </c>
      <c r="S59" s="211">
        <f>J18</f>
        <v>10</v>
      </c>
      <c r="T59" s="8"/>
      <c r="AB59"/>
    </row>
    <row r="60" spans="1:28" s="1" customFormat="1" ht="15.75" customHeight="1" thickTop="1">
      <c r="A60"/>
      <c r="B60"/>
      <c r="C60"/>
      <c r="D60" s="225"/>
      <c r="E60" s="6"/>
      <c r="F60" s="49"/>
      <c r="G60"/>
      <c r="H60"/>
      <c r="J60" s="54"/>
      <c r="K60" s="2"/>
      <c r="L60" s="7"/>
      <c r="M60" s="102"/>
      <c r="N60" s="11"/>
      <c r="O60" s="2"/>
      <c r="P60" s="2"/>
      <c r="Q60" s="7"/>
      <c r="R60" s="102"/>
      <c r="S60" s="11"/>
      <c r="T60" s="40"/>
      <c r="AB60"/>
    </row>
    <row r="61" spans="1:28" s="1" customFormat="1" ht="15.75" customHeight="1">
      <c r="A61"/>
      <c r="B61"/>
      <c r="C61"/>
      <c r="D61" s="22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25"/>
      <c r="E62" s="6"/>
      <c r="F62" s="49"/>
      <c r="G62"/>
      <c r="H62"/>
      <c r="K62" s="220" t="e">
        <f ca="1">VLOOKUP(K17,AanwezigReserve!$D:$E,2,0)</f>
        <v>#N/A</v>
      </c>
      <c r="L62" s="103" t="e">
        <f ca="1">VLOOKUP(M17,AanwezigReserve!$D:$E,2,0)</f>
        <v>#N/A</v>
      </c>
      <c r="M62" s="103" t="e">
        <f ca="1">VLOOKUP(P17,AanwezigReserve!$D:$E,2,0)</f>
        <v>#N/A</v>
      </c>
      <c r="N62" s="39" t="e">
        <f ca="1">VLOOKUP(R17,AanwezigReserve!$D:$E,2,0)</f>
        <v>#N/A</v>
      </c>
      <c r="O62" s="39"/>
      <c r="P62" s="103" t="e">
        <f ca="1">VLOOKUP(K18,AanwezigReserve!$D:$E,2,0)</f>
        <v>#N/A</v>
      </c>
      <c r="Q62" s="103" t="e">
        <f ca="1">VLOOKUP(M18,AanwezigReserve!$D:$E,2,0)</f>
        <v>#N/A</v>
      </c>
      <c r="R62" s="103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2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25"/>
      <c r="E64"/>
      <c r="F64" s="49"/>
      <c r="G64"/>
      <c r="H64"/>
      <c r="K64" s="2"/>
      <c r="L64" s="2"/>
      <c r="N64" s="111">
        <f ca="1">N57</f>
        <v>45985</v>
      </c>
      <c r="O64" s="106"/>
      <c r="P64" s="106"/>
      <c r="Q64" s="106"/>
      <c r="R64" s="107"/>
      <c r="S64" s="111">
        <f ca="1">S57</f>
        <v>45985</v>
      </c>
      <c r="T64" s="8"/>
      <c r="AB64"/>
    </row>
    <row r="65" spans="1:28" s="1" customFormat="1" ht="15.75" customHeight="1">
      <c r="A65"/>
      <c r="B65"/>
      <c r="C65"/>
      <c r="D65" s="22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25"/>
      <c r="E66"/>
      <c r="F66" s="23"/>
      <c r="G66"/>
      <c r="H66"/>
      <c r="K66" s="2"/>
      <c r="L66" s="7"/>
      <c r="M66" s="212">
        <f>M59</f>
        <v>5</v>
      </c>
      <c r="N66" s="213">
        <f>J19</f>
        <v>11</v>
      </c>
      <c r="O66" s="2"/>
      <c r="P66" s="2"/>
      <c r="Q66" s="7"/>
      <c r="R66" s="102">
        <f>R59</f>
        <v>5</v>
      </c>
      <c r="S66" s="211">
        <f>J20</f>
        <v>12</v>
      </c>
      <c r="T66" s="78"/>
      <c r="AB66"/>
    </row>
    <row r="67" spans="1:28" s="1" customFormat="1" ht="15.75" customHeight="1">
      <c r="A67"/>
      <c r="B67"/>
      <c r="C67"/>
      <c r="D67" s="225"/>
      <c r="E67"/>
      <c r="F67" s="23"/>
      <c r="G67"/>
      <c r="H67"/>
      <c r="K67" s="2"/>
      <c r="L67" s="7"/>
      <c r="M67" s="102"/>
      <c r="N67" s="11"/>
      <c r="O67" s="2"/>
      <c r="P67" s="2"/>
      <c r="Q67" s="7"/>
      <c r="R67" s="102"/>
      <c r="S67" s="11"/>
      <c r="T67" s="10"/>
      <c r="AB67"/>
    </row>
    <row r="68" spans="1:28" s="1" customFormat="1" ht="15.75" customHeight="1">
      <c r="A68"/>
      <c r="B68"/>
      <c r="C68"/>
      <c r="D68" s="22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25"/>
      <c r="E69"/>
      <c r="F69" s="23"/>
      <c r="G69"/>
      <c r="H69"/>
      <c r="K69" s="220" t="e">
        <f ca="1">VLOOKUP(K19,AanwezigReserve!$D:$E,2,0)</f>
        <v>#N/A</v>
      </c>
      <c r="L69" s="103" t="e">
        <f ca="1">VLOOKUP(M19,AanwezigReserve!$D:$E,2,0)</f>
        <v>#N/A</v>
      </c>
      <c r="M69" s="103" t="e">
        <f ca="1">VLOOKUP(P19,AanwezigReserve!$D:$E,2,0)</f>
        <v>#N/A</v>
      </c>
      <c r="N69" s="39" t="e">
        <f ca="1">VLOOKUP(R19,AanwezigReserve!$D:$E,2,0)</f>
        <v>#N/A</v>
      </c>
      <c r="O69" s="39"/>
      <c r="P69" s="103" t="e">
        <f ca="1">VLOOKUP(K20,AanwezigReserve!$D:$E,2,0)</f>
        <v>#N/A</v>
      </c>
      <c r="Q69" s="103" t="e">
        <f ca="1">VLOOKUP(M20,AanwezigReserve!$D:$E,2,0)</f>
        <v>#N/A</v>
      </c>
      <c r="R69" s="103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2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25"/>
      <c r="E71"/>
      <c r="F71" s="23"/>
      <c r="G71"/>
      <c r="H71"/>
      <c r="K71" s="2"/>
      <c r="L71" s="2"/>
      <c r="N71" s="111">
        <f ca="1">N64</f>
        <v>45985</v>
      </c>
      <c r="O71" s="106"/>
      <c r="P71" s="106"/>
      <c r="Q71" s="106"/>
      <c r="R71" s="107"/>
      <c r="S71" s="111">
        <f ca="1">S64</f>
        <v>45985</v>
      </c>
      <c r="T71" s="7"/>
      <c r="AB71"/>
    </row>
    <row r="72" spans="1:28" s="1" customFormat="1" ht="15.75" customHeight="1">
      <c r="A72"/>
      <c r="B72"/>
      <c r="C72"/>
      <c r="D72" s="22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25"/>
      <c r="E73"/>
      <c r="F73" s="23"/>
      <c r="G73"/>
      <c r="H73"/>
      <c r="K73" s="2"/>
      <c r="L73" s="7"/>
      <c r="M73" s="212">
        <f>M66</f>
        <v>5</v>
      </c>
      <c r="N73" s="213">
        <f>J21</f>
        <v>13</v>
      </c>
      <c r="O73" s="2"/>
      <c r="P73" s="2"/>
      <c r="Q73" s="7"/>
      <c r="R73" s="102">
        <f>R66</f>
        <v>5</v>
      </c>
      <c r="S73" s="211">
        <f>J22</f>
        <v>14</v>
      </c>
      <c r="T73" s="7"/>
      <c r="AB73"/>
    </row>
    <row r="74" spans="1:28" s="1" customFormat="1" ht="15.75" customHeight="1">
      <c r="A74"/>
      <c r="B74"/>
      <c r="C74"/>
      <c r="D74" s="225"/>
      <c r="E74"/>
      <c r="F74" s="23"/>
      <c r="G74"/>
      <c r="H74"/>
      <c r="K74" s="2"/>
      <c r="L74" s="7"/>
      <c r="M74" s="102"/>
      <c r="N74" s="11"/>
      <c r="O74" s="2"/>
      <c r="P74" s="2"/>
      <c r="Q74" s="7"/>
      <c r="R74" s="102"/>
      <c r="S74" s="11"/>
      <c r="T74" s="7"/>
      <c r="AB74"/>
    </row>
    <row r="75" spans="1:28" s="1" customFormat="1" ht="15.75" customHeight="1">
      <c r="A75"/>
      <c r="B75"/>
      <c r="C75"/>
      <c r="D75" s="22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25"/>
      <c r="E76"/>
      <c r="F76" s="23"/>
      <c r="G76"/>
      <c r="H76"/>
      <c r="J76" s="9"/>
      <c r="K76" s="220" t="e">
        <f ca="1">VLOOKUP(K21,AanwezigReserve!$D:$E,2,0)</f>
        <v>#N/A</v>
      </c>
      <c r="L76" s="103" t="e">
        <f ca="1">VLOOKUP(M21,AanwezigReserve!$D:$E,2,0)</f>
        <v>#N/A</v>
      </c>
      <c r="M76" s="103" t="e">
        <f ca="1">VLOOKUP(P21,AanwezigReserve!$D:$E,2,0)</f>
        <v>#N/A</v>
      </c>
      <c r="N76" s="39" t="e">
        <f ca="1">VLOOKUP(R21,AanwezigReserve!$D:$E,2,0)</f>
        <v>#N/A</v>
      </c>
      <c r="O76" s="39"/>
      <c r="P76" s="103" t="e">
        <f ca="1">VLOOKUP(K22,AanwezigReserve!$D:$E,2,0)</f>
        <v>#N/A</v>
      </c>
      <c r="Q76" s="103" t="e">
        <f ca="1">VLOOKUP(M22,AanwezigReserve!$D:$E,2,0)</f>
        <v>#N/A</v>
      </c>
      <c r="R76" s="103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2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2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2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2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2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2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2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2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2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2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2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2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3"/>
      <c r="L148" s="113"/>
      <c r="M148" s="113"/>
      <c r="N148" s="113"/>
      <c r="O148" s="113"/>
      <c r="P148" s="113"/>
      <c r="Q148" s="113"/>
      <c r="R148" s="113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3"/>
      <c r="L149" s="113"/>
      <c r="M149" s="113"/>
      <c r="N149" s="113"/>
      <c r="O149" s="113"/>
      <c r="P149" s="113"/>
      <c r="Q149" s="113"/>
      <c r="R149" s="113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3"/>
      <c r="L150" s="113"/>
      <c r="M150" s="113"/>
      <c r="N150" s="113"/>
      <c r="O150" s="113"/>
      <c r="P150" s="113"/>
      <c r="Q150" s="113"/>
      <c r="R150" s="113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3"/>
      <c r="L151" s="113"/>
      <c r="M151" s="113"/>
      <c r="N151" s="113"/>
      <c r="O151" s="113"/>
      <c r="P151" s="113"/>
      <c r="Q151" s="113"/>
      <c r="R151" s="113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3"/>
      <c r="L152" s="113"/>
      <c r="M152" s="113"/>
      <c r="N152" s="113"/>
      <c r="O152" s="113"/>
      <c r="P152" s="113"/>
      <c r="Q152" s="113"/>
      <c r="R152" s="113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3"/>
      <c r="L153" s="113"/>
      <c r="M153" s="113"/>
      <c r="N153" s="113"/>
      <c r="O153" s="113"/>
      <c r="P153" s="113"/>
      <c r="Q153" s="113"/>
      <c r="R153" s="113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3"/>
      <c r="L154" s="113"/>
      <c r="M154" s="113"/>
      <c r="N154" s="113"/>
      <c r="O154" s="113"/>
      <c r="P154" s="113"/>
      <c r="Q154" s="113"/>
      <c r="R154" s="113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3"/>
      <c r="L155" s="113"/>
      <c r="M155" s="113"/>
      <c r="N155" s="113"/>
      <c r="O155" s="113"/>
      <c r="P155" s="113"/>
      <c r="Q155" s="113"/>
      <c r="R155" s="113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3"/>
      <c r="L156" s="113"/>
      <c r="M156" s="113"/>
      <c r="N156" s="113"/>
      <c r="O156" s="113"/>
      <c r="P156" s="113"/>
      <c r="Q156" s="113"/>
      <c r="R156" s="113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3"/>
      <c r="L157" s="113"/>
      <c r="M157" s="113"/>
      <c r="N157" s="113"/>
      <c r="O157" s="113"/>
      <c r="P157" s="113"/>
      <c r="Q157" s="113"/>
      <c r="R157" s="113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3"/>
      <c r="L158" s="113"/>
      <c r="M158" s="113"/>
      <c r="N158" s="113"/>
      <c r="O158" s="113"/>
      <c r="P158" s="113"/>
      <c r="Q158" s="113"/>
      <c r="R158" s="113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3"/>
      <c r="L159" s="113"/>
      <c r="M159" s="113"/>
      <c r="N159" s="113"/>
      <c r="O159" s="113"/>
      <c r="P159" s="113"/>
      <c r="Q159" s="113"/>
      <c r="R159" s="113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3"/>
      <c r="L160" s="113"/>
      <c r="M160" s="113"/>
      <c r="N160" s="113"/>
      <c r="O160" s="113"/>
      <c r="P160" s="113"/>
      <c r="Q160" s="113"/>
      <c r="R160" s="113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3"/>
      <c r="L161" s="113"/>
      <c r="M161" s="113"/>
      <c r="N161" s="113"/>
      <c r="O161" s="113"/>
      <c r="P161" s="113"/>
      <c r="Q161" s="113"/>
      <c r="R161" s="113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3"/>
      <c r="L162" s="113"/>
      <c r="M162" s="113"/>
      <c r="N162" s="113"/>
      <c r="O162" s="113"/>
      <c r="P162" s="113"/>
      <c r="Q162" s="113"/>
      <c r="R162" s="113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3"/>
      <c r="L163" s="113"/>
      <c r="M163" s="113"/>
      <c r="N163" s="113"/>
      <c r="O163" s="113"/>
      <c r="P163" s="113"/>
      <c r="Q163" s="113"/>
      <c r="R163" s="113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3"/>
      <c r="L164" s="113"/>
      <c r="M164" s="113"/>
      <c r="N164" s="113"/>
      <c r="O164" s="113"/>
      <c r="P164" s="113"/>
      <c r="Q164" s="113"/>
      <c r="R164" s="113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3"/>
      <c r="L165" s="113"/>
      <c r="M165" s="113"/>
      <c r="N165" s="113"/>
      <c r="O165" s="113"/>
      <c r="P165" s="113"/>
      <c r="Q165" s="113"/>
      <c r="R165" s="113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M13:N13"/>
    <mergeCell ref="R6:S6"/>
    <mergeCell ref="R7:S7"/>
    <mergeCell ref="K12:L12"/>
    <mergeCell ref="K10:L10"/>
    <mergeCell ref="M10:N1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K16:L16"/>
    <mergeCell ref="M16:N16"/>
    <mergeCell ref="P16:Q16"/>
    <mergeCell ref="R20:S20"/>
    <mergeCell ref="P20:Q20"/>
    <mergeCell ref="K20:L20"/>
    <mergeCell ref="M20:N20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horizontalDpi="200" verticalDpi="200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ignoredErrors>
    <ignoredError sqref="H8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topLeftCell="A17" zoomScaleNormal="100" workbookViewId="0">
      <selection activeCell="F38" sqref="F38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7"/>
      <c r="D1" s="69">
        <v>2</v>
      </c>
      <c r="E1" s="230" t="s">
        <v>56</v>
      </c>
      <c r="F1" s="231" t="s">
        <v>57</v>
      </c>
    </row>
    <row r="2" spans="1:22" ht="12.75" customHeight="1">
      <c r="A2" s="47">
        <v>1</v>
      </c>
      <c r="B2" s="48"/>
      <c r="C2" s="7" t="s">
        <v>262</v>
      </c>
      <c r="D2">
        <v>1</v>
      </c>
      <c r="E2" s="20">
        <v>6</v>
      </c>
      <c r="F2" s="229">
        <v>1</v>
      </c>
      <c r="K2" s="308" t="s">
        <v>240</v>
      </c>
      <c r="L2" s="308"/>
    </row>
    <row r="3" spans="1:22" ht="12.75" customHeight="1">
      <c r="B3" s="48"/>
      <c r="C3" s="7" t="s">
        <v>252</v>
      </c>
      <c r="D3"/>
      <c r="E3" s="20">
        <v>10</v>
      </c>
      <c r="F3" s="19"/>
      <c r="K3" s="308"/>
      <c r="L3" s="308"/>
    </row>
    <row r="4" spans="1:22" ht="12.75" customHeight="1">
      <c r="B4" s="48"/>
      <c r="C4" s="7" t="s">
        <v>263</v>
      </c>
      <c r="D4">
        <v>3</v>
      </c>
      <c r="E4" s="20">
        <v>3</v>
      </c>
      <c r="F4" s="19">
        <v>2</v>
      </c>
      <c r="H4" s="64"/>
      <c r="J4" s="44"/>
      <c r="K4" s="308"/>
      <c r="L4" s="308"/>
      <c r="M4" s="44"/>
    </row>
    <row r="5" spans="1:22" ht="12.75" customHeight="1">
      <c r="A5" s="65"/>
      <c r="B5" s="66"/>
      <c r="C5" s="7" t="s">
        <v>264</v>
      </c>
      <c r="D5">
        <v>10</v>
      </c>
      <c r="E5" s="20">
        <v>1</v>
      </c>
      <c r="F5" s="19">
        <v>1</v>
      </c>
      <c r="K5" s="308"/>
      <c r="L5" s="308"/>
    </row>
    <row r="6" spans="1:22">
      <c r="A6" s="145">
        <v>2</v>
      </c>
      <c r="B6" s="146"/>
      <c r="C6" s="7" t="s">
        <v>265</v>
      </c>
      <c r="D6"/>
      <c r="E6" s="227">
        <v>1</v>
      </c>
      <c r="F6" s="148">
        <v>6</v>
      </c>
      <c r="K6" s="308"/>
      <c r="L6" s="308"/>
    </row>
    <row r="7" spans="1:22" ht="12.75" customHeight="1">
      <c r="A7" s="145"/>
      <c r="B7" s="146"/>
      <c r="C7" s="7" t="s">
        <v>257</v>
      </c>
      <c r="D7">
        <v>6</v>
      </c>
      <c r="E7" s="227">
        <v>10</v>
      </c>
      <c r="F7" s="148">
        <v>1</v>
      </c>
      <c r="N7" s="7"/>
    </row>
    <row r="8" spans="1:22" ht="12.75" customHeight="1">
      <c r="A8" s="145"/>
      <c r="B8" s="146"/>
      <c r="C8" s="7" t="s">
        <v>266</v>
      </c>
      <c r="D8"/>
      <c r="E8" s="227">
        <v>3</v>
      </c>
      <c r="F8" s="148">
        <v>4</v>
      </c>
      <c r="V8" s="113"/>
    </row>
    <row r="9" spans="1:22" ht="12.75" customHeight="1">
      <c r="A9" s="149"/>
      <c r="B9" s="150"/>
      <c r="C9" s="7" t="s">
        <v>267</v>
      </c>
      <c r="D9">
        <v>1</v>
      </c>
      <c r="E9" s="227">
        <v>6</v>
      </c>
      <c r="F9" s="148">
        <v>5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60">
        <v>3</v>
      </c>
      <c r="F10" s="19">
        <v>1</v>
      </c>
    </row>
    <row r="11" spans="1:22">
      <c r="B11" s="48"/>
      <c r="C11" s="7" t="s">
        <v>249</v>
      </c>
      <c r="D11">
        <v>10</v>
      </c>
      <c r="E11" s="261">
        <v>10</v>
      </c>
      <c r="F11" s="19">
        <v>3</v>
      </c>
    </row>
    <row r="12" spans="1:22">
      <c r="B12" s="48"/>
      <c r="C12" s="7" t="s">
        <v>268</v>
      </c>
      <c r="D12"/>
      <c r="E12" s="261">
        <v>6</v>
      </c>
      <c r="F12" s="19">
        <v>3</v>
      </c>
      <c r="O12" s="7"/>
    </row>
    <row r="13" spans="1:22">
      <c r="A13" s="65"/>
      <c r="B13" s="66"/>
      <c r="C13" s="7" t="s">
        <v>269</v>
      </c>
      <c r="D13"/>
      <c r="E13" s="261">
        <v>1</v>
      </c>
      <c r="F13" s="19">
        <v>1</v>
      </c>
    </row>
    <row r="14" spans="1:22">
      <c r="A14" s="145">
        <v>4</v>
      </c>
      <c r="B14" s="146"/>
      <c r="C14" s="7" t="s">
        <v>251</v>
      </c>
      <c r="D14"/>
      <c r="E14" s="227">
        <v>10</v>
      </c>
      <c r="F14" s="151"/>
    </row>
    <row r="15" spans="1:22">
      <c r="A15" s="145"/>
      <c r="B15" s="146"/>
      <c r="C15" s="7" t="s">
        <v>270</v>
      </c>
      <c r="D15">
        <v>1</v>
      </c>
      <c r="E15" s="227">
        <v>6</v>
      </c>
      <c r="F15" s="152"/>
    </row>
    <row r="16" spans="1:22">
      <c r="A16" s="145"/>
      <c r="B16" s="146"/>
      <c r="C16" s="7" t="s">
        <v>271</v>
      </c>
      <c r="D16">
        <v>6</v>
      </c>
      <c r="E16" s="227">
        <v>1</v>
      </c>
      <c r="F16" s="152"/>
      <c r="J16" s="47"/>
      <c r="M16" s="47"/>
    </row>
    <row r="17" spans="1:15">
      <c r="A17" s="149"/>
      <c r="B17" s="150"/>
      <c r="C17" s="7" t="s">
        <v>142</v>
      </c>
      <c r="D17">
        <v>3</v>
      </c>
      <c r="E17" s="227">
        <v>3</v>
      </c>
      <c r="F17" s="152"/>
      <c r="M17" s="47"/>
    </row>
    <row r="18" spans="1:15">
      <c r="A18" s="47">
        <v>5</v>
      </c>
      <c r="B18" s="48"/>
      <c r="C18" s="7" t="s">
        <v>247</v>
      </c>
      <c r="D18">
        <v>10</v>
      </c>
      <c r="E18" s="20">
        <v>3</v>
      </c>
      <c r="F18" s="88"/>
      <c r="M18" s="47"/>
    </row>
    <row r="19" spans="1:15">
      <c r="B19" s="48"/>
      <c r="C19" s="7" t="s">
        <v>260</v>
      </c>
      <c r="D19"/>
      <c r="E19" s="20">
        <v>10</v>
      </c>
      <c r="F19" s="88"/>
      <c r="M19" s="47"/>
    </row>
    <row r="20" spans="1:15">
      <c r="B20" s="48"/>
      <c r="C20" s="7" t="s">
        <v>272</v>
      </c>
      <c r="D20">
        <v>1</v>
      </c>
      <c r="E20" s="20">
        <v>6</v>
      </c>
      <c r="F20" s="88"/>
      <c r="M20" s="47"/>
    </row>
    <row r="21" spans="1:15">
      <c r="A21" s="65"/>
      <c r="B21" s="66"/>
      <c r="C21" s="7" t="s">
        <v>33</v>
      </c>
      <c r="D21">
        <v>6</v>
      </c>
      <c r="E21" s="20">
        <v>1</v>
      </c>
      <c r="F21" s="88"/>
      <c r="M21" s="47"/>
    </row>
    <row r="22" spans="1:15">
      <c r="A22" s="145">
        <v>6</v>
      </c>
      <c r="B22" s="146"/>
      <c r="C22" s="7" t="s">
        <v>273</v>
      </c>
      <c r="D22">
        <v>3</v>
      </c>
      <c r="E22" s="227">
        <v>1</v>
      </c>
      <c r="F22" s="148">
        <v>1</v>
      </c>
      <c r="M22" s="47"/>
    </row>
    <row r="23" spans="1:15">
      <c r="A23" s="145"/>
      <c r="B23" s="146"/>
      <c r="C23" s="7" t="s">
        <v>274</v>
      </c>
      <c r="D23">
        <v>10</v>
      </c>
      <c r="E23" s="227">
        <v>3</v>
      </c>
      <c r="F23" s="148">
        <v>2</v>
      </c>
      <c r="J23" s="47"/>
      <c r="M23" s="47"/>
    </row>
    <row r="24" spans="1:15">
      <c r="A24" s="145"/>
      <c r="B24" s="146"/>
      <c r="C24" s="7" t="s">
        <v>256</v>
      </c>
      <c r="D24"/>
      <c r="E24" s="227">
        <v>6</v>
      </c>
      <c r="F24" s="148"/>
      <c r="H24" s="64"/>
      <c r="J24" s="47"/>
      <c r="M24" s="47"/>
      <c r="N24" s="7"/>
    </row>
    <row r="25" spans="1:15">
      <c r="A25" s="149"/>
      <c r="B25" s="150"/>
      <c r="C25" s="7" t="s">
        <v>275</v>
      </c>
      <c r="D25"/>
      <c r="E25" s="227">
        <v>10</v>
      </c>
      <c r="F25" s="148">
        <v>1</v>
      </c>
      <c r="H25" s="64"/>
      <c r="I25" s="204"/>
      <c r="J25" s="68"/>
      <c r="M25" s="68"/>
    </row>
    <row r="26" spans="1:15">
      <c r="A26" s="47">
        <v>7</v>
      </c>
      <c r="B26" s="48"/>
      <c r="C26" s="7" t="s">
        <v>250</v>
      </c>
      <c r="D26">
        <v>1</v>
      </c>
      <c r="E26" s="260">
        <v>3</v>
      </c>
      <c r="F26" s="19">
        <v>2</v>
      </c>
      <c r="J26" s="47"/>
      <c r="M26" s="47"/>
      <c r="O26" s="45"/>
    </row>
    <row r="27" spans="1:15">
      <c r="B27" s="48"/>
      <c r="C27" s="7" t="s">
        <v>248</v>
      </c>
      <c r="D27">
        <v>6</v>
      </c>
      <c r="E27" s="261">
        <v>10</v>
      </c>
      <c r="F27" s="19">
        <v>3</v>
      </c>
      <c r="J27" s="47"/>
      <c r="M27" s="47"/>
    </row>
    <row r="28" spans="1:15">
      <c r="B28" s="48"/>
      <c r="C28" s="7" t="s">
        <v>276</v>
      </c>
      <c r="D28">
        <v>10</v>
      </c>
      <c r="E28" s="261">
        <v>1</v>
      </c>
      <c r="F28" s="19">
        <v>5</v>
      </c>
      <c r="J28" s="47"/>
      <c r="M28" s="47"/>
    </row>
    <row r="29" spans="1:15" ht="13.5" thickBot="1">
      <c r="A29" s="65"/>
      <c r="B29" s="66"/>
      <c r="C29" s="7" t="s">
        <v>253</v>
      </c>
      <c r="D29"/>
      <c r="E29" s="261">
        <v>6</v>
      </c>
      <c r="F29" s="19">
        <v>2</v>
      </c>
      <c r="H29" s="129" t="s">
        <v>137</v>
      </c>
      <c r="I29" s="248"/>
      <c r="K29" s="131" t="s">
        <v>127</v>
      </c>
      <c r="M29" s="47"/>
    </row>
    <row r="30" spans="1:15" ht="13.5" thickTop="1">
      <c r="A30" s="145">
        <v>8</v>
      </c>
      <c r="B30" s="146"/>
      <c r="C30" s="148" t="s">
        <v>277</v>
      </c>
      <c r="D30" s="147"/>
      <c r="E30" s="227">
        <v>1</v>
      </c>
      <c r="F30" s="151">
        <v>1</v>
      </c>
      <c r="H30" s="128">
        <v>1</v>
      </c>
      <c r="I30" s="126">
        <f>COUNTIF(E$2:E$60,H30)</f>
        <v>10</v>
      </c>
      <c r="K30" s="19">
        <f>SUM(F2:F55)</f>
        <v>52</v>
      </c>
      <c r="M30" s="47"/>
    </row>
    <row r="31" spans="1:15">
      <c r="A31" s="145"/>
      <c r="B31" s="146"/>
      <c r="C31" s="228" t="s">
        <v>245</v>
      </c>
      <c r="D31" s="147"/>
      <c r="E31" s="227">
        <v>3</v>
      </c>
      <c r="F31" s="152">
        <v>2</v>
      </c>
      <c r="H31" s="124">
        <v>3</v>
      </c>
      <c r="I31" s="126">
        <f t="shared" ref="I31:I33" si="0">COUNTIF(E$2:E$60,H31)</f>
        <v>10</v>
      </c>
      <c r="M31" s="47"/>
    </row>
    <row r="32" spans="1:15">
      <c r="A32" s="145"/>
      <c r="B32" s="146"/>
      <c r="C32" s="228" t="s">
        <v>259</v>
      </c>
      <c r="D32" s="147"/>
      <c r="E32" s="227">
        <v>6</v>
      </c>
      <c r="F32" s="152">
        <v>1</v>
      </c>
      <c r="H32" s="124">
        <v>6</v>
      </c>
      <c r="I32" s="126">
        <f t="shared" si="0"/>
        <v>10</v>
      </c>
      <c r="M32" s="47"/>
    </row>
    <row r="33" spans="1:13">
      <c r="A33" s="149"/>
      <c r="B33" s="150"/>
      <c r="C33" s="228" t="s">
        <v>258</v>
      </c>
      <c r="D33" s="147"/>
      <c r="E33" s="227">
        <v>10</v>
      </c>
      <c r="F33" s="152"/>
      <c r="H33" s="125">
        <v>10</v>
      </c>
      <c r="I33" s="127">
        <f t="shared" si="0"/>
        <v>10</v>
      </c>
      <c r="M33" s="47"/>
    </row>
    <row r="34" spans="1:13">
      <c r="A34" s="47">
        <v>9</v>
      </c>
      <c r="B34" s="48"/>
      <c r="C34" s="87" t="s">
        <v>278</v>
      </c>
      <c r="D34" s="45"/>
      <c r="E34" s="88">
        <v>3</v>
      </c>
      <c r="F34" s="263">
        <v>3</v>
      </c>
      <c r="M34" s="47"/>
    </row>
    <row r="35" spans="1:13">
      <c r="B35" s="48"/>
      <c r="C35" s="19" t="s">
        <v>261</v>
      </c>
      <c r="D35" s="45"/>
      <c r="E35" s="88">
        <v>10</v>
      </c>
      <c r="F35" s="88"/>
      <c r="J35" s="47"/>
      <c r="M35" s="47"/>
    </row>
    <row r="36" spans="1:13">
      <c r="B36" s="48"/>
      <c r="C36" s="19" t="s">
        <v>279</v>
      </c>
      <c r="D36" s="45"/>
      <c r="E36" s="88">
        <v>6</v>
      </c>
      <c r="F36" s="88">
        <v>1</v>
      </c>
      <c r="J36" s="47"/>
      <c r="M36" s="47"/>
    </row>
    <row r="37" spans="1:13">
      <c r="A37" s="65"/>
      <c r="B37" s="66"/>
      <c r="C37" s="19" t="s">
        <v>280</v>
      </c>
      <c r="D37" s="45"/>
      <c r="E37" s="88">
        <v>1</v>
      </c>
      <c r="F37" s="88"/>
      <c r="J37" s="15"/>
      <c r="M37" s="15"/>
    </row>
    <row r="38" spans="1:13">
      <c r="A38" s="145">
        <v>10</v>
      </c>
      <c r="B38" s="146"/>
      <c r="C38" s="148" t="s">
        <v>244</v>
      </c>
      <c r="D38" s="147"/>
      <c r="E38" s="214">
        <v>1</v>
      </c>
      <c r="F38" s="152"/>
      <c r="J38" s="15"/>
      <c r="M38" s="15"/>
    </row>
    <row r="39" spans="1:13">
      <c r="A39" s="145"/>
      <c r="B39" s="146"/>
      <c r="C39" s="148" t="s">
        <v>254</v>
      </c>
      <c r="D39" s="147"/>
      <c r="E39" s="214">
        <v>10</v>
      </c>
      <c r="F39" s="152"/>
      <c r="J39" s="15"/>
      <c r="M39" s="15"/>
    </row>
    <row r="40" spans="1:13">
      <c r="A40" s="145"/>
      <c r="B40" s="146"/>
      <c r="C40" s="148" t="s">
        <v>281</v>
      </c>
      <c r="D40" s="147"/>
      <c r="E40" s="214">
        <v>3</v>
      </c>
      <c r="F40" s="152"/>
      <c r="J40" s="15"/>
      <c r="M40" s="15"/>
    </row>
    <row r="41" spans="1:13">
      <c r="A41" s="149"/>
      <c r="B41" s="150"/>
      <c r="C41" s="148" t="s">
        <v>246</v>
      </c>
      <c r="D41" s="147"/>
      <c r="E41" s="214">
        <v>6</v>
      </c>
      <c r="F41" s="152"/>
      <c r="J41" s="15"/>
      <c r="M41" s="15"/>
    </row>
    <row r="42" spans="1:13">
      <c r="A42" s="47">
        <v>11</v>
      </c>
      <c r="B42" s="48"/>
      <c r="C42" s="87" t="s">
        <v>282</v>
      </c>
      <c r="D42" s="45"/>
      <c r="E42" s="16"/>
      <c r="F42" s="88"/>
      <c r="J42" s="15"/>
      <c r="M42" s="15"/>
    </row>
    <row r="43" spans="1:13">
      <c r="B43" s="48"/>
      <c r="C43" s="19" t="s">
        <v>282</v>
      </c>
      <c r="D43" s="45"/>
      <c r="E43" s="16"/>
      <c r="F43" s="88"/>
    </row>
    <row r="44" spans="1:13">
      <c r="B44" s="48"/>
      <c r="C44" s="19" t="s">
        <v>282</v>
      </c>
      <c r="D44" s="45"/>
      <c r="E44" s="16"/>
      <c r="F44" s="88"/>
    </row>
    <row r="45" spans="1:13">
      <c r="A45" s="65"/>
      <c r="B45" s="66"/>
      <c r="C45" s="19" t="s">
        <v>282</v>
      </c>
      <c r="D45" s="45"/>
      <c r="E45" s="16"/>
      <c r="F45" s="88"/>
    </row>
    <row r="46" spans="1:13">
      <c r="A46" s="145">
        <v>12</v>
      </c>
      <c r="B46" s="48"/>
      <c r="C46" s="148" t="s">
        <v>282</v>
      </c>
      <c r="D46" s="147"/>
      <c r="E46" s="214"/>
      <c r="F46" s="152"/>
    </row>
    <row r="47" spans="1:13">
      <c r="A47" s="145"/>
      <c r="B47" s="48"/>
      <c r="C47" s="148" t="s">
        <v>282</v>
      </c>
      <c r="D47" s="147"/>
      <c r="E47" s="214"/>
      <c r="F47" s="152"/>
    </row>
    <row r="48" spans="1:13">
      <c r="A48" s="145"/>
      <c r="B48" s="48"/>
      <c r="C48" s="148" t="s">
        <v>282</v>
      </c>
      <c r="D48" s="147"/>
      <c r="E48" s="214"/>
      <c r="F48" s="152"/>
    </row>
    <row r="49" spans="1:16">
      <c r="A49" s="149"/>
      <c r="B49" s="66"/>
      <c r="C49" s="148" t="s">
        <v>282</v>
      </c>
      <c r="D49" s="147"/>
      <c r="E49" s="214"/>
      <c r="F49" s="152"/>
      <c r="I49" s="64"/>
    </row>
    <row r="50" spans="1:16">
      <c r="A50" s="47">
        <v>13</v>
      </c>
      <c r="B50" s="48"/>
      <c r="C50" s="87" t="s">
        <v>282</v>
      </c>
      <c r="D50" s="45"/>
      <c r="E50" s="16"/>
      <c r="F50" s="88"/>
    </row>
    <row r="51" spans="1:16">
      <c r="B51" s="48"/>
      <c r="C51" s="19" t="s">
        <v>282</v>
      </c>
      <c r="D51" s="45"/>
      <c r="E51" s="16"/>
      <c r="F51" s="88"/>
      <c r="P51" s="7"/>
    </row>
    <row r="52" spans="1:16">
      <c r="B52" s="48"/>
      <c r="C52" s="19" t="s">
        <v>282</v>
      </c>
      <c r="D52" s="45"/>
      <c r="E52" s="16"/>
      <c r="F52" s="88"/>
    </row>
    <row r="53" spans="1:16">
      <c r="A53" s="65"/>
      <c r="B53" s="66"/>
      <c r="C53" s="19" t="s">
        <v>282</v>
      </c>
      <c r="D53" s="45"/>
      <c r="E53" s="16"/>
      <c r="F53" s="88"/>
    </row>
    <row r="54" spans="1:16">
      <c r="A54" s="145">
        <v>14</v>
      </c>
      <c r="B54" s="48"/>
      <c r="C54" s="148" t="s">
        <v>282</v>
      </c>
      <c r="D54" s="147"/>
      <c r="E54" s="214"/>
      <c r="F54" s="152"/>
    </row>
    <row r="55" spans="1:16">
      <c r="A55" s="145"/>
      <c r="B55" s="48"/>
      <c r="C55" s="148" t="s">
        <v>282</v>
      </c>
      <c r="D55" s="147"/>
      <c r="E55" s="214"/>
      <c r="F55" s="152"/>
    </row>
    <row r="56" spans="1:16">
      <c r="A56" s="145"/>
      <c r="B56" s="48"/>
      <c r="C56" s="148" t="s">
        <v>282</v>
      </c>
      <c r="D56" s="147"/>
      <c r="E56" s="214"/>
      <c r="F56" s="152"/>
    </row>
    <row r="57" spans="1:16">
      <c r="A57" s="149"/>
      <c r="B57" s="66"/>
      <c r="C57" s="148" t="s">
        <v>282</v>
      </c>
      <c r="D57" s="147"/>
      <c r="E57" s="214"/>
      <c r="F57" s="152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mergeCells count="1">
    <mergeCell ref="K2:L6"/>
  </mergeCells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zoomScale="96" zoomScaleNormal="96" workbookViewId="0">
      <selection activeCell="F42" sqref="F42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7"/>
      <c r="D1" s="69"/>
      <c r="E1" s="230" t="s">
        <v>64</v>
      </c>
      <c r="F1" s="231" t="s">
        <v>57</v>
      </c>
    </row>
    <row r="2" spans="1:13" ht="12.75" customHeight="1">
      <c r="A2" s="47">
        <v>1</v>
      </c>
      <c r="B2" s="48"/>
      <c r="C2" s="87" t="s">
        <v>261</v>
      </c>
      <c r="D2" s="45"/>
      <c r="E2" s="20">
        <v>10</v>
      </c>
      <c r="F2" s="16"/>
    </row>
    <row r="3" spans="1:13" ht="12.75" customHeight="1">
      <c r="B3" s="48"/>
      <c r="C3" s="19" t="s">
        <v>268</v>
      </c>
      <c r="D3" s="45"/>
      <c r="E3" s="20">
        <v>1</v>
      </c>
      <c r="F3" s="16"/>
    </row>
    <row r="4" spans="1:13" ht="12.75" customHeight="1">
      <c r="B4" s="48"/>
      <c r="C4" s="19" t="s">
        <v>256</v>
      </c>
      <c r="D4" s="45"/>
      <c r="E4" s="20">
        <v>6</v>
      </c>
      <c r="F4" s="16"/>
      <c r="H4" s="64"/>
      <c r="J4" s="44"/>
      <c r="K4" s="7"/>
      <c r="M4" s="44"/>
    </row>
    <row r="5" spans="1:13" ht="12.75" customHeight="1">
      <c r="A5" s="65"/>
      <c r="B5" s="66"/>
      <c r="C5" s="19" t="s">
        <v>257</v>
      </c>
      <c r="D5" s="45"/>
      <c r="E5" s="20">
        <v>3</v>
      </c>
      <c r="F5" s="16"/>
    </row>
    <row r="6" spans="1:13">
      <c r="A6" s="145">
        <v>2</v>
      </c>
      <c r="B6" s="146"/>
      <c r="C6" s="148" t="s">
        <v>251</v>
      </c>
      <c r="D6" s="147"/>
      <c r="E6" s="20">
        <v>10</v>
      </c>
      <c r="F6" s="151">
        <v>3</v>
      </c>
      <c r="K6" s="7"/>
    </row>
    <row r="7" spans="1:13" ht="12.75" customHeight="1">
      <c r="A7" s="145"/>
      <c r="B7" s="146"/>
      <c r="C7" s="148" t="s">
        <v>264</v>
      </c>
      <c r="D7" s="147"/>
      <c r="E7" s="20">
        <v>3</v>
      </c>
      <c r="F7" s="152">
        <v>4</v>
      </c>
    </row>
    <row r="8" spans="1:13" ht="12.75" customHeight="1">
      <c r="A8" s="145"/>
      <c r="B8" s="146"/>
      <c r="C8" s="148" t="s">
        <v>277</v>
      </c>
      <c r="D8" s="147"/>
      <c r="E8" s="20">
        <v>6</v>
      </c>
      <c r="F8" s="152">
        <v>1</v>
      </c>
    </row>
    <row r="9" spans="1:13" ht="12.75" customHeight="1">
      <c r="A9" s="149"/>
      <c r="B9" s="150"/>
      <c r="C9" s="148" t="s">
        <v>276</v>
      </c>
      <c r="D9" s="147"/>
      <c r="E9" s="20">
        <v>1</v>
      </c>
      <c r="F9" s="152"/>
    </row>
    <row r="10" spans="1:13" ht="12.75" customHeight="1">
      <c r="A10" s="47">
        <v>3</v>
      </c>
      <c r="B10" s="48"/>
      <c r="C10" s="19" t="s">
        <v>249</v>
      </c>
      <c r="D10" s="45"/>
      <c r="E10" s="20">
        <v>3</v>
      </c>
      <c r="F10" s="19"/>
    </row>
    <row r="11" spans="1:13">
      <c r="B11" s="48"/>
      <c r="C11" s="19" t="s">
        <v>245</v>
      </c>
      <c r="D11" s="45"/>
      <c r="E11" s="20">
        <v>10</v>
      </c>
      <c r="F11" s="19"/>
      <c r="H11" s="64"/>
    </row>
    <row r="12" spans="1:13">
      <c r="B12" s="48"/>
      <c r="C12" s="19" t="s">
        <v>260</v>
      </c>
      <c r="D12" s="45"/>
      <c r="E12" s="20">
        <v>6</v>
      </c>
      <c r="F12" s="19"/>
    </row>
    <row r="13" spans="1:13">
      <c r="A13" s="65"/>
      <c r="B13" s="66"/>
      <c r="C13" s="19" t="s">
        <v>247</v>
      </c>
      <c r="D13" s="45"/>
      <c r="E13" s="20">
        <v>1</v>
      </c>
      <c r="F13" s="19"/>
    </row>
    <row r="14" spans="1:13">
      <c r="A14" s="145">
        <v>4</v>
      </c>
      <c r="B14" s="146">
        <v>4</v>
      </c>
      <c r="C14" s="148" t="s">
        <v>259</v>
      </c>
      <c r="D14" s="147"/>
      <c r="E14" s="20">
        <v>1</v>
      </c>
      <c r="F14" s="151"/>
    </row>
    <row r="15" spans="1:13">
      <c r="A15" s="145"/>
      <c r="B15" s="146"/>
      <c r="C15" s="148" t="s">
        <v>252</v>
      </c>
      <c r="D15" s="147"/>
      <c r="E15" s="20">
        <v>6</v>
      </c>
      <c r="F15" s="152"/>
      <c r="H15" s="64"/>
    </row>
    <row r="16" spans="1:13">
      <c r="A16" s="145"/>
      <c r="B16" s="146"/>
      <c r="C16" s="148" t="s">
        <v>278</v>
      </c>
      <c r="D16" s="147"/>
      <c r="E16" s="20">
        <v>3</v>
      </c>
      <c r="F16" s="152"/>
      <c r="J16" s="47"/>
      <c r="M16" s="47"/>
    </row>
    <row r="17" spans="1:19">
      <c r="A17" s="149"/>
      <c r="B17" s="150"/>
      <c r="C17" s="148" t="s">
        <v>142</v>
      </c>
      <c r="D17" s="147"/>
      <c r="E17" s="20">
        <v>10</v>
      </c>
      <c r="F17" s="152"/>
      <c r="M17" s="47"/>
      <c r="S17" s="45"/>
    </row>
    <row r="18" spans="1:19">
      <c r="A18" s="47">
        <v>5</v>
      </c>
      <c r="B18" s="48"/>
      <c r="C18" s="19" t="s">
        <v>275</v>
      </c>
      <c r="D18" s="45"/>
      <c r="E18" s="20">
        <v>1</v>
      </c>
      <c r="F18" s="19"/>
      <c r="M18" s="47"/>
    </row>
    <row r="19" spans="1:19">
      <c r="B19" s="48"/>
      <c r="C19" s="19" t="s">
        <v>250</v>
      </c>
      <c r="D19" s="45"/>
      <c r="E19" s="20">
        <v>6</v>
      </c>
      <c r="F19" s="19"/>
      <c r="M19" s="47"/>
    </row>
    <row r="20" spans="1:19">
      <c r="B20" s="48"/>
      <c r="C20" s="19" t="s">
        <v>33</v>
      </c>
      <c r="D20" s="45"/>
      <c r="E20" s="20">
        <v>6</v>
      </c>
      <c r="F20" s="19"/>
      <c r="M20" s="47"/>
    </row>
    <row r="21" spans="1:19">
      <c r="A21" s="65"/>
      <c r="B21" s="66"/>
      <c r="C21" s="19" t="s">
        <v>270</v>
      </c>
      <c r="D21" s="45"/>
      <c r="E21" s="20">
        <v>1</v>
      </c>
      <c r="F21" s="19"/>
      <c r="M21" s="47"/>
    </row>
    <row r="22" spans="1:19">
      <c r="A22" s="145">
        <v>6</v>
      </c>
      <c r="B22" s="146"/>
      <c r="C22" s="148" t="s">
        <v>280</v>
      </c>
      <c r="D22" s="147"/>
      <c r="E22" s="20">
        <v>6</v>
      </c>
      <c r="F22" s="148"/>
      <c r="M22" s="47"/>
    </row>
    <row r="23" spans="1:19">
      <c r="A23" s="145"/>
      <c r="B23" s="146"/>
      <c r="C23" s="148" t="s">
        <v>258</v>
      </c>
      <c r="D23" s="147"/>
      <c r="E23" s="20">
        <v>1</v>
      </c>
      <c r="F23" s="148"/>
      <c r="J23" s="47"/>
      <c r="M23" s="47"/>
    </row>
    <row r="24" spans="1:19">
      <c r="A24" s="145"/>
      <c r="B24" s="146"/>
      <c r="C24" s="148" t="s">
        <v>263</v>
      </c>
      <c r="D24" s="147"/>
      <c r="E24" s="20">
        <v>10</v>
      </c>
      <c r="F24" s="148">
        <v>4</v>
      </c>
      <c r="H24" s="64"/>
      <c r="J24" s="47"/>
      <c r="M24" s="47"/>
    </row>
    <row r="25" spans="1:19">
      <c r="A25" s="149"/>
      <c r="B25" s="150"/>
      <c r="C25" s="148" t="s">
        <v>266</v>
      </c>
      <c r="D25" s="147"/>
      <c r="E25" s="20">
        <v>6</v>
      </c>
      <c r="F25" s="148"/>
      <c r="H25" s="64"/>
      <c r="J25" s="68"/>
      <c r="M25" s="68"/>
    </row>
    <row r="26" spans="1:19">
      <c r="A26" s="47">
        <v>7</v>
      </c>
      <c r="B26" s="48"/>
      <c r="C26" s="19" t="s">
        <v>246</v>
      </c>
      <c r="D26" s="45"/>
      <c r="E26" s="20">
        <v>10</v>
      </c>
      <c r="F26" s="19"/>
      <c r="J26" s="47"/>
      <c r="M26" s="47"/>
    </row>
    <row r="27" spans="1:19">
      <c r="B27" s="48"/>
      <c r="C27" s="19" t="s">
        <v>265</v>
      </c>
      <c r="D27" s="45"/>
      <c r="E27" s="261">
        <v>6</v>
      </c>
      <c r="F27" s="19"/>
      <c r="H27" s="64"/>
      <c r="J27" s="47"/>
      <c r="M27" s="47"/>
    </row>
    <row r="28" spans="1:19">
      <c r="B28" s="48"/>
      <c r="C28" s="19" t="s">
        <v>248</v>
      </c>
      <c r="D28" s="45"/>
      <c r="E28" s="261">
        <v>1</v>
      </c>
      <c r="F28" s="19"/>
      <c r="J28" s="47"/>
      <c r="M28" s="47"/>
    </row>
    <row r="29" spans="1:19" ht="13.5" thickBot="1">
      <c r="A29" s="65"/>
      <c r="B29" s="66"/>
      <c r="C29" s="19" t="s">
        <v>281</v>
      </c>
      <c r="D29" s="45"/>
      <c r="E29" s="261">
        <v>3</v>
      </c>
      <c r="F29" s="19"/>
      <c r="H29" s="129" t="s">
        <v>137</v>
      </c>
      <c r="I29" s="130"/>
      <c r="K29" s="131" t="s">
        <v>127</v>
      </c>
      <c r="M29" s="47"/>
      <c r="N29" s="7"/>
    </row>
    <row r="30" spans="1:19" ht="13.5" thickTop="1">
      <c r="A30" s="145">
        <v>8</v>
      </c>
      <c r="B30" s="146"/>
      <c r="C30" s="148" t="s">
        <v>279</v>
      </c>
      <c r="D30" s="147"/>
      <c r="E30" s="227">
        <v>3</v>
      </c>
      <c r="F30" s="151">
        <v>2</v>
      </c>
      <c r="H30" s="128">
        <v>1</v>
      </c>
      <c r="I30" s="126">
        <f>COUNTIF(E$2:E$60,H30)</f>
        <v>10</v>
      </c>
      <c r="K30" s="19">
        <f>SUM(F2:F55)</f>
        <v>28</v>
      </c>
      <c r="M30" s="47"/>
    </row>
    <row r="31" spans="1:19">
      <c r="A31" s="145"/>
      <c r="B31" s="146"/>
      <c r="C31" s="228" t="s">
        <v>244</v>
      </c>
      <c r="D31" s="147"/>
      <c r="E31" s="227">
        <v>6</v>
      </c>
      <c r="F31" s="152"/>
      <c r="H31" s="124">
        <v>3</v>
      </c>
      <c r="I31" s="126">
        <f t="shared" ref="I31:I33" si="0">COUNTIF(E$2:E$60,H31)</f>
        <v>9</v>
      </c>
      <c r="M31" s="47"/>
    </row>
    <row r="32" spans="1:19">
      <c r="A32" s="145"/>
      <c r="B32" s="146"/>
      <c r="C32" s="228" t="s">
        <v>255</v>
      </c>
      <c r="D32" s="147"/>
      <c r="E32" s="227">
        <v>10</v>
      </c>
      <c r="F32" s="152"/>
      <c r="H32" s="124">
        <v>6</v>
      </c>
      <c r="I32" s="126">
        <f t="shared" si="0"/>
        <v>12</v>
      </c>
      <c r="M32" s="47"/>
    </row>
    <row r="33" spans="1:13">
      <c r="A33" s="149"/>
      <c r="B33" s="150"/>
      <c r="C33" s="228" t="s">
        <v>269</v>
      </c>
      <c r="D33" s="147"/>
      <c r="E33" s="227">
        <v>1</v>
      </c>
      <c r="F33" s="152">
        <v>2</v>
      </c>
      <c r="H33" s="125">
        <v>10</v>
      </c>
      <c r="I33" s="127">
        <f t="shared" si="0"/>
        <v>9</v>
      </c>
      <c r="M33" s="47"/>
    </row>
    <row r="34" spans="1:13">
      <c r="A34" s="47">
        <v>9</v>
      </c>
      <c r="B34" s="48"/>
      <c r="C34" s="87" t="s">
        <v>267</v>
      </c>
      <c r="D34" s="45"/>
      <c r="E34" s="16">
        <v>1</v>
      </c>
      <c r="F34" s="88">
        <v>1</v>
      </c>
      <c r="M34" s="47"/>
    </row>
    <row r="35" spans="1:13">
      <c r="B35" s="48"/>
      <c r="C35" s="19" t="s">
        <v>272</v>
      </c>
      <c r="D35" s="45"/>
      <c r="E35" s="16">
        <v>6</v>
      </c>
      <c r="F35" s="88">
        <v>2</v>
      </c>
      <c r="J35" s="47"/>
      <c r="M35" s="47"/>
    </row>
    <row r="36" spans="1:13">
      <c r="B36" s="48"/>
      <c r="C36" s="19" t="s">
        <v>271</v>
      </c>
      <c r="D36" s="45"/>
      <c r="E36" s="16">
        <v>3</v>
      </c>
      <c r="F36" s="88">
        <v>1</v>
      </c>
      <c r="J36" s="47"/>
      <c r="M36" s="47"/>
    </row>
    <row r="37" spans="1:13">
      <c r="A37" s="65"/>
      <c r="B37" s="66"/>
      <c r="C37" s="19" t="s">
        <v>273</v>
      </c>
      <c r="D37" s="45"/>
      <c r="E37" s="16">
        <v>10</v>
      </c>
      <c r="F37" s="88"/>
      <c r="J37" s="15"/>
      <c r="M37" s="15"/>
    </row>
    <row r="38" spans="1:13">
      <c r="A38" s="145">
        <v>10</v>
      </c>
      <c r="B38" s="146"/>
      <c r="C38" s="148" t="s">
        <v>254</v>
      </c>
      <c r="D38" s="147" t="e">
        <f>LEFT(#REF!,FIND(" ",#REF!)-1)</f>
        <v>#REF!</v>
      </c>
      <c r="E38" s="214">
        <v>3</v>
      </c>
      <c r="F38" s="152">
        <v>1</v>
      </c>
      <c r="J38" s="15"/>
      <c r="M38" s="15"/>
    </row>
    <row r="39" spans="1:13">
      <c r="A39" s="145"/>
      <c r="B39" s="146"/>
      <c r="C39" s="148" t="s">
        <v>262</v>
      </c>
      <c r="D39" s="147" t="e">
        <f>LEFT(#REF!,FIND(" ",#REF!)-1)</f>
        <v>#REF!</v>
      </c>
      <c r="E39" s="214">
        <v>10</v>
      </c>
      <c r="F39" s="152">
        <v>1</v>
      </c>
      <c r="J39" s="15"/>
      <c r="M39" s="15"/>
    </row>
    <row r="40" spans="1:13">
      <c r="A40" s="145"/>
      <c r="B40" s="146"/>
      <c r="C40" s="148" t="s">
        <v>274</v>
      </c>
      <c r="D40" s="147" t="e">
        <f>LEFT(#REF!,FIND(" ",#REF!)-1)</f>
        <v>#REF!</v>
      </c>
      <c r="E40" s="214">
        <v>3</v>
      </c>
      <c r="F40" s="152">
        <v>3</v>
      </c>
      <c r="J40" s="15"/>
      <c r="M40" s="15"/>
    </row>
    <row r="41" spans="1:13">
      <c r="A41" s="149"/>
      <c r="B41" s="150"/>
      <c r="C41" s="148" t="s">
        <v>253</v>
      </c>
      <c r="D41" s="147" t="e">
        <f>LEFT(#REF!,FIND(" ",#REF!)-1)</f>
        <v>#REF!</v>
      </c>
      <c r="E41" s="214">
        <v>6</v>
      </c>
      <c r="F41" s="152">
        <v>3</v>
      </c>
      <c r="J41" s="15"/>
      <c r="M41" s="15"/>
    </row>
    <row r="42" spans="1:13">
      <c r="A42" s="47">
        <v>11</v>
      </c>
      <c r="B42" s="48"/>
      <c r="C42" s="87">
        <v>10</v>
      </c>
      <c r="D42" s="45" t="e">
        <f t="shared" ref="D42:D49" si="1">LEFT(C42,FIND(" ",C42)-1)</f>
        <v>#VALUE!</v>
      </c>
      <c r="E42" s="16" t="s">
        <v>132</v>
      </c>
      <c r="F42" s="88"/>
      <c r="J42" s="15"/>
      <c r="M42" s="15"/>
    </row>
    <row r="43" spans="1:13">
      <c r="B43" s="48"/>
      <c r="C43" s="19">
        <v>1</v>
      </c>
      <c r="D43" s="45" t="e">
        <f t="shared" si="1"/>
        <v>#VALUE!</v>
      </c>
      <c r="E43" s="16"/>
      <c r="F43" s="88"/>
    </row>
    <row r="44" spans="1:13">
      <c r="B44" s="48"/>
      <c r="C44" s="19">
        <v>6</v>
      </c>
      <c r="D44" s="45" t="e">
        <f t="shared" si="1"/>
        <v>#VALUE!</v>
      </c>
      <c r="E44" s="16"/>
      <c r="F44" s="88"/>
    </row>
    <row r="45" spans="1:13">
      <c r="A45" s="65"/>
      <c r="B45" s="66"/>
      <c r="C45" s="19">
        <v>3</v>
      </c>
      <c r="D45" s="45" t="e">
        <f t="shared" si="1"/>
        <v>#VALUE!</v>
      </c>
      <c r="E45" s="16"/>
      <c r="F45" s="88"/>
    </row>
    <row r="46" spans="1:13">
      <c r="A46" s="145">
        <v>12</v>
      </c>
      <c r="B46" s="48"/>
      <c r="C46" s="148" t="s">
        <v>282</v>
      </c>
      <c r="D46" s="147" t="e">
        <f t="shared" si="1"/>
        <v>#VALUE!</v>
      </c>
      <c r="E46" s="214"/>
      <c r="F46" s="152"/>
    </row>
    <row r="47" spans="1:13">
      <c r="A47" s="145"/>
      <c r="B47" s="48"/>
      <c r="C47" s="148" t="s">
        <v>282</v>
      </c>
      <c r="D47" s="147" t="e">
        <f t="shared" si="1"/>
        <v>#VALUE!</v>
      </c>
      <c r="E47" s="214"/>
      <c r="F47" s="152"/>
    </row>
    <row r="48" spans="1:13">
      <c r="A48" s="145"/>
      <c r="B48" s="48"/>
      <c r="C48" s="148" t="s">
        <v>282</v>
      </c>
      <c r="D48" s="147" t="e">
        <f t="shared" si="1"/>
        <v>#VALUE!</v>
      </c>
      <c r="E48" s="214"/>
      <c r="F48" s="152"/>
    </row>
    <row r="49" spans="1:9">
      <c r="A49" s="149"/>
      <c r="B49" s="66"/>
      <c r="C49" s="148" t="s">
        <v>282</v>
      </c>
      <c r="D49" s="147" t="e">
        <f t="shared" si="1"/>
        <v>#VALUE!</v>
      </c>
      <c r="E49" s="214"/>
      <c r="F49" s="152"/>
      <c r="I49" s="64"/>
    </row>
    <row r="50" spans="1:9">
      <c r="B50" s="48"/>
      <c r="C50" s="87" t="s">
        <v>282</v>
      </c>
      <c r="D50" s="45" t="e">
        <f>SUM(D38:D49)</f>
        <v>#REF!</v>
      </c>
      <c r="E50" s="16"/>
      <c r="F50" s="88"/>
    </row>
    <row r="51" spans="1:9">
      <c r="B51" s="48"/>
      <c r="C51" s="19" t="s">
        <v>282</v>
      </c>
      <c r="D51" s="45"/>
      <c r="E51" s="16"/>
      <c r="F51" s="88"/>
    </row>
    <row r="52" spans="1:9">
      <c r="B52" s="48"/>
      <c r="C52" s="19" t="s">
        <v>282</v>
      </c>
      <c r="D52" s="45"/>
      <c r="E52" s="16"/>
      <c r="F52" s="88"/>
    </row>
    <row r="53" spans="1:9">
      <c r="A53" s="65"/>
      <c r="B53" s="66"/>
      <c r="C53" s="19" t="s">
        <v>282</v>
      </c>
      <c r="D53" s="45"/>
      <c r="E53" s="16"/>
      <c r="F53" s="88"/>
    </row>
    <row r="54" spans="1:9">
      <c r="A54" s="145">
        <v>14</v>
      </c>
      <c r="B54" s="48"/>
      <c r="C54" s="148" t="s">
        <v>282</v>
      </c>
      <c r="D54" s="147"/>
      <c r="E54" s="214"/>
      <c r="F54" s="152"/>
    </row>
    <row r="55" spans="1:9">
      <c r="A55" s="145"/>
      <c r="B55" s="48"/>
      <c r="C55" s="148" t="s">
        <v>282</v>
      </c>
      <c r="D55" s="147"/>
      <c r="E55" s="214"/>
      <c r="F55" s="152"/>
    </row>
    <row r="56" spans="1:9">
      <c r="A56" s="145"/>
      <c r="B56" s="48"/>
      <c r="C56" s="148" t="s">
        <v>282</v>
      </c>
      <c r="D56" s="147"/>
      <c r="E56" s="214"/>
      <c r="F56" s="152"/>
    </row>
    <row r="57" spans="1:9">
      <c r="A57" s="149"/>
      <c r="B57" s="66"/>
      <c r="C57" s="148" t="s">
        <v>282</v>
      </c>
      <c r="D57" s="147"/>
      <c r="E57" s="214"/>
      <c r="F57" s="152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workbookViewId="0">
      <selection activeCell="F37" sqref="F3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7"/>
      <c r="D1" s="69"/>
      <c r="E1" s="230" t="s">
        <v>56</v>
      </c>
      <c r="F1" s="231" t="s">
        <v>57</v>
      </c>
      <c r="O1" s="7"/>
    </row>
    <row r="2" spans="1:15" ht="12.75" customHeight="1">
      <c r="A2" s="47">
        <v>1</v>
      </c>
      <c r="B2" s="48"/>
      <c r="C2" s="19" t="s">
        <v>274</v>
      </c>
      <c r="D2" s="45" t="e">
        <f>LEFT(#REF!,FIND(" ",#REF!)-1)</f>
        <v>#REF!</v>
      </c>
      <c r="E2" s="20">
        <v>3</v>
      </c>
      <c r="F2" s="19"/>
      <c r="L2" s="15"/>
      <c r="O2" s="7"/>
    </row>
    <row r="3" spans="1:15" ht="12.75" customHeight="1">
      <c r="B3" s="48"/>
      <c r="C3" s="19" t="s">
        <v>272</v>
      </c>
      <c r="D3" s="45" t="e">
        <f>LEFT(#REF!,FIND(" ",#REF!)-1)</f>
        <v>#REF!</v>
      </c>
      <c r="E3" s="20">
        <v>6</v>
      </c>
      <c r="F3" s="19">
        <v>2</v>
      </c>
      <c r="L3" s="15"/>
      <c r="O3" s="7"/>
    </row>
    <row r="4" spans="1:15" ht="12.75" customHeight="1">
      <c r="B4" s="48"/>
      <c r="C4" s="19" t="s">
        <v>246</v>
      </c>
      <c r="D4" s="45" t="e">
        <f>LEFT(#REF!,FIND(" ",#REF!)-1)</f>
        <v>#REF!</v>
      </c>
      <c r="E4" s="20">
        <v>3</v>
      </c>
      <c r="F4" s="19">
        <v>1</v>
      </c>
      <c r="H4" s="64"/>
      <c r="J4" s="44"/>
      <c r="K4" s="7"/>
      <c r="L4" s="202"/>
      <c r="M4" s="44"/>
      <c r="O4" s="7"/>
    </row>
    <row r="5" spans="1:15" ht="12.75" customHeight="1">
      <c r="A5" s="65"/>
      <c r="B5" s="66"/>
      <c r="C5" s="19" t="s">
        <v>280</v>
      </c>
      <c r="D5" s="45" t="e">
        <f>LEFT(#REF!,FIND(" ",#REF!)-1)</f>
        <v>#REF!</v>
      </c>
      <c r="E5" s="20">
        <v>10</v>
      </c>
      <c r="F5" s="19">
        <v>1</v>
      </c>
      <c r="L5" s="15"/>
      <c r="O5" s="7"/>
    </row>
    <row r="6" spans="1:15">
      <c r="A6" s="145">
        <v>2</v>
      </c>
      <c r="B6" s="146"/>
      <c r="C6" s="148" t="s">
        <v>281</v>
      </c>
      <c r="D6" s="147" t="e">
        <f>LEFT(#REF!,FIND(" ",#REF!)-1)</f>
        <v>#REF!</v>
      </c>
      <c r="E6" s="20">
        <v>6</v>
      </c>
      <c r="F6" s="148">
        <v>1</v>
      </c>
      <c r="K6" s="7"/>
      <c r="L6" s="15"/>
      <c r="O6" s="7"/>
    </row>
    <row r="7" spans="1:15" ht="12.75" customHeight="1">
      <c r="A7" s="145"/>
      <c r="B7" s="146"/>
      <c r="C7" s="148" t="s">
        <v>248</v>
      </c>
      <c r="D7" s="147" t="e">
        <f>LEFT(#REF!,FIND(" ",#REF!)-1)</f>
        <v>#REF!</v>
      </c>
      <c r="E7" s="20">
        <v>3</v>
      </c>
      <c r="F7" s="148"/>
      <c r="L7" s="15"/>
      <c r="O7" s="7"/>
    </row>
    <row r="8" spans="1:15" ht="12.75" customHeight="1">
      <c r="A8" s="145"/>
      <c r="B8" s="146"/>
      <c r="C8" s="148" t="s">
        <v>258</v>
      </c>
      <c r="D8" s="147" t="e">
        <f>LEFT(#REF!,FIND(" ",#REF!)-1)</f>
        <v>#REF!</v>
      </c>
      <c r="E8" s="20">
        <v>10</v>
      </c>
      <c r="F8" s="148"/>
      <c r="L8" s="15"/>
      <c r="O8" s="7"/>
    </row>
    <row r="9" spans="1:15" ht="12.75" customHeight="1">
      <c r="A9" s="149"/>
      <c r="B9" s="150"/>
      <c r="C9" s="148" t="s">
        <v>259</v>
      </c>
      <c r="D9" s="147" t="e">
        <f>LEFT(#REF!,FIND(" ",#REF!)-1)</f>
        <v>#REF!</v>
      </c>
      <c r="E9" s="20">
        <v>1</v>
      </c>
      <c r="F9" s="148">
        <v>3</v>
      </c>
      <c r="L9" s="15"/>
      <c r="O9" s="64"/>
    </row>
    <row r="10" spans="1:15" ht="12.75" customHeight="1">
      <c r="A10" s="47">
        <v>3</v>
      </c>
      <c r="B10" s="48"/>
      <c r="C10" s="19" t="s">
        <v>270</v>
      </c>
      <c r="D10" s="45" t="e">
        <f>LEFT(#REF!,FIND(" ",#REF!)-1)</f>
        <v>#REF!</v>
      </c>
      <c r="E10" s="20">
        <v>6</v>
      </c>
      <c r="F10" s="263"/>
      <c r="L10" s="15"/>
      <c r="N10" s="7"/>
    </row>
    <row r="11" spans="1:15">
      <c r="B11" s="48"/>
      <c r="C11" s="19" t="s">
        <v>273</v>
      </c>
      <c r="D11" s="45" t="e">
        <f>LEFT(#REF!,FIND(" ",#REF!)-1)</f>
        <v>#REF!</v>
      </c>
      <c r="E11" s="20">
        <v>1</v>
      </c>
      <c r="F11" s="88"/>
      <c r="I11" s="7"/>
      <c r="L11" s="15"/>
    </row>
    <row r="12" spans="1:15">
      <c r="B12" s="48"/>
      <c r="C12" s="19" t="s">
        <v>253</v>
      </c>
      <c r="D12" s="45" t="e">
        <f>LEFT(#REF!,FIND(" ",#REF!)-1)</f>
        <v>#REF!</v>
      </c>
      <c r="E12" s="20">
        <v>3</v>
      </c>
      <c r="F12" s="88"/>
      <c r="L12" s="15"/>
    </row>
    <row r="13" spans="1:15">
      <c r="A13" s="65"/>
      <c r="B13" s="66"/>
      <c r="C13" s="19" t="s">
        <v>271</v>
      </c>
      <c r="D13" s="45" t="e">
        <f>LEFT(#REF!,FIND(" ",#REF!)-1)</f>
        <v>#REF!</v>
      </c>
      <c r="E13" s="20">
        <v>10</v>
      </c>
      <c r="F13" s="88"/>
      <c r="L13" s="15"/>
    </row>
    <row r="14" spans="1:15">
      <c r="A14" s="145">
        <v>4</v>
      </c>
      <c r="B14" s="146"/>
      <c r="C14" s="148" t="s">
        <v>261</v>
      </c>
      <c r="D14" s="147" t="e">
        <f>LEFT(#REF!,FIND(" ",#REF!)-1)</f>
        <v>#REF!</v>
      </c>
      <c r="E14" s="20">
        <v>10</v>
      </c>
      <c r="F14" s="148"/>
      <c r="L14" s="15"/>
    </row>
    <row r="15" spans="1:15">
      <c r="A15" s="145"/>
      <c r="B15" s="146"/>
      <c r="C15" s="148" t="s">
        <v>142</v>
      </c>
      <c r="D15" s="147" t="e">
        <f>LEFT(#REF!,FIND(" ",#REF!)-1)</f>
        <v>#REF!</v>
      </c>
      <c r="E15" s="20">
        <v>1</v>
      </c>
      <c r="F15" s="148"/>
      <c r="L15" s="15"/>
    </row>
    <row r="16" spans="1:15">
      <c r="A16" s="145"/>
      <c r="B16" s="146"/>
      <c r="C16" s="148" t="s">
        <v>252</v>
      </c>
      <c r="D16" s="147" t="e">
        <f>LEFT(#REF!,FIND(" ",#REF!)-1)</f>
        <v>#REF!</v>
      </c>
      <c r="E16" s="20">
        <v>3</v>
      </c>
      <c r="F16" s="148">
        <v>4</v>
      </c>
      <c r="J16" s="47"/>
      <c r="L16" s="15"/>
      <c r="M16" s="47"/>
    </row>
    <row r="17" spans="1:13">
      <c r="A17" s="149"/>
      <c r="B17" s="150"/>
      <c r="C17" s="148" t="s">
        <v>245</v>
      </c>
      <c r="D17" s="147" t="str">
        <f>LEFT(C23,FIND(" ",C23)-1)</f>
        <v>Suzanne</v>
      </c>
      <c r="E17" s="20">
        <v>6</v>
      </c>
      <c r="F17" s="148"/>
      <c r="L17" s="15"/>
      <c r="M17" s="47"/>
    </row>
    <row r="18" spans="1:13">
      <c r="A18" s="47">
        <v>5</v>
      </c>
      <c r="B18" s="48"/>
      <c r="C18" s="19" t="s">
        <v>276</v>
      </c>
      <c r="D18" s="45" t="e">
        <f>LEFT(#REF!,FIND(" ",#REF!)-1)</f>
        <v>#REF!</v>
      </c>
      <c r="E18" s="20">
        <v>3</v>
      </c>
      <c r="F18" s="19">
        <v>3</v>
      </c>
      <c r="L18" s="15"/>
      <c r="M18" s="47"/>
    </row>
    <row r="19" spans="1:13">
      <c r="B19" s="48"/>
      <c r="C19" s="19" t="s">
        <v>33</v>
      </c>
      <c r="D19" s="45" t="e">
        <f>LEFT(#REF!,FIND(" ",#REF!)-1)</f>
        <v>#REF!</v>
      </c>
      <c r="E19" s="20">
        <v>6</v>
      </c>
      <c r="F19" s="19">
        <v>3</v>
      </c>
      <c r="L19" s="15"/>
      <c r="M19" s="47"/>
    </row>
    <row r="20" spans="1:13">
      <c r="B20" s="48"/>
      <c r="C20" s="19" t="s">
        <v>275</v>
      </c>
      <c r="D20" s="45" t="e">
        <f>LEFT(#REF!,FIND(" ",#REF!)-1)</f>
        <v>#REF!</v>
      </c>
      <c r="E20" s="20">
        <v>1</v>
      </c>
      <c r="F20" s="19">
        <v>2</v>
      </c>
      <c r="L20" s="15"/>
      <c r="M20" s="47"/>
    </row>
    <row r="21" spans="1:13">
      <c r="A21" s="65"/>
      <c r="B21" s="66"/>
      <c r="C21" s="19" t="s">
        <v>260</v>
      </c>
      <c r="D21" s="45" t="e">
        <f>LEFT(#REF!,FIND(" ",#REF!)-1)</f>
        <v>#REF!</v>
      </c>
      <c r="E21" s="20">
        <v>10</v>
      </c>
      <c r="F21" s="19"/>
      <c r="L21" s="15"/>
      <c r="M21" s="47"/>
    </row>
    <row r="22" spans="1:13">
      <c r="A22" s="145">
        <v>6</v>
      </c>
      <c r="B22" s="146"/>
      <c r="C22" s="148" t="s">
        <v>269</v>
      </c>
      <c r="D22" s="147" t="e">
        <f>LEFT(#REF!,FIND(" ",#REF!)-1)</f>
        <v>#REF!</v>
      </c>
      <c r="E22" s="20">
        <v>6</v>
      </c>
      <c r="F22" s="148">
        <v>3</v>
      </c>
      <c r="L22" s="15"/>
      <c r="M22" s="47"/>
    </row>
    <row r="23" spans="1:13">
      <c r="A23" s="145"/>
      <c r="B23" s="146"/>
      <c r="C23" s="148" t="s">
        <v>266</v>
      </c>
      <c r="D23" s="147" t="e">
        <f>LEFT(#REF!,FIND(" ",#REF!)-1)</f>
        <v>#REF!</v>
      </c>
      <c r="E23" s="20">
        <v>10</v>
      </c>
      <c r="F23" s="148">
        <v>1</v>
      </c>
      <c r="J23" s="47"/>
      <c r="L23" s="15"/>
      <c r="M23" s="47"/>
    </row>
    <row r="24" spans="1:13">
      <c r="A24" s="145"/>
      <c r="B24" s="146"/>
      <c r="C24" s="148" t="s">
        <v>277</v>
      </c>
      <c r="D24" s="147" t="e">
        <f>LEFT(#REF!,FIND(" ",#REF!)-1)</f>
        <v>#REF!</v>
      </c>
      <c r="E24" s="20">
        <v>3</v>
      </c>
      <c r="F24" s="148">
        <v>4</v>
      </c>
      <c r="H24" s="64"/>
      <c r="J24" s="47"/>
      <c r="L24" s="15"/>
      <c r="M24" s="47"/>
    </row>
    <row r="25" spans="1:13">
      <c r="A25" s="149"/>
      <c r="B25" s="150"/>
      <c r="C25" s="148" t="s">
        <v>244</v>
      </c>
      <c r="D25" s="147" t="e">
        <f>LEFT(#REF!,FIND(" ",#REF!)-1)</f>
        <v>#REF!</v>
      </c>
      <c r="E25" s="20">
        <v>1</v>
      </c>
      <c r="F25" s="148">
        <v>4</v>
      </c>
      <c r="H25" s="64"/>
      <c r="J25" s="68"/>
      <c r="L25" s="7"/>
      <c r="M25" s="68"/>
    </row>
    <row r="26" spans="1:13">
      <c r="A26" s="47">
        <v>7</v>
      </c>
      <c r="B26" s="48"/>
      <c r="C26" s="19" t="s">
        <v>278</v>
      </c>
      <c r="D26" s="45" t="e">
        <f>LEFT(#REF!,FIND(" ",#REF!)-1)</f>
        <v>#REF!</v>
      </c>
      <c r="E26" s="20">
        <v>1</v>
      </c>
      <c r="F26" s="263">
        <v>3</v>
      </c>
      <c r="J26" s="47"/>
      <c r="L26" s="15"/>
      <c r="M26" s="47"/>
    </row>
    <row r="27" spans="1:13">
      <c r="B27" s="48"/>
      <c r="C27" s="19" t="s">
        <v>263</v>
      </c>
      <c r="D27" s="45" t="e">
        <f>LEFT(#REF!,FIND(" ",#REF!)-1)</f>
        <v>#REF!</v>
      </c>
      <c r="E27" s="20">
        <v>6</v>
      </c>
      <c r="F27" s="88">
        <v>1</v>
      </c>
      <c r="J27" s="47"/>
      <c r="L27" s="15"/>
      <c r="M27" s="47"/>
    </row>
    <row r="28" spans="1:13">
      <c r="B28" s="48"/>
      <c r="C28" s="19" t="s">
        <v>247</v>
      </c>
      <c r="D28" s="45" t="e">
        <f>LEFT(#REF!,FIND(" ",#REF!)-1)</f>
        <v>#REF!</v>
      </c>
      <c r="E28" s="20">
        <v>10</v>
      </c>
      <c r="F28" s="88"/>
      <c r="J28" s="47"/>
      <c r="L28" s="15"/>
      <c r="M28" s="47"/>
    </row>
    <row r="29" spans="1:13" ht="13.5" thickBot="1">
      <c r="A29" s="65"/>
      <c r="B29" s="66"/>
      <c r="C29" s="19" t="s">
        <v>251</v>
      </c>
      <c r="D29" s="45" t="e">
        <f>LEFT(#REF!,FIND(" ",#REF!)-1)</f>
        <v>#REF!</v>
      </c>
      <c r="E29" s="20">
        <v>3</v>
      </c>
      <c r="F29" s="88"/>
      <c r="H29" s="129" t="s">
        <v>137</v>
      </c>
      <c r="I29" s="130"/>
      <c r="K29" s="131" t="s">
        <v>127</v>
      </c>
      <c r="L29" s="15"/>
      <c r="M29" s="47"/>
    </row>
    <row r="30" spans="1:13" ht="13.5" thickTop="1">
      <c r="A30" s="145">
        <v>8</v>
      </c>
      <c r="B30" s="146"/>
      <c r="C30" s="148" t="s">
        <v>250</v>
      </c>
      <c r="D30" s="147" t="e">
        <f>LEFT(#REF!,FIND(" ",#REF!)-1)</f>
        <v>#REF!</v>
      </c>
      <c r="E30" s="20">
        <v>6</v>
      </c>
      <c r="F30" s="148"/>
      <c r="H30" s="128">
        <v>1</v>
      </c>
      <c r="I30" s="126">
        <f>COUNTIF(E$2:E$60,H30)</f>
        <v>8</v>
      </c>
      <c r="K30" s="19">
        <f>SUM(F2:F55)</f>
        <v>44</v>
      </c>
      <c r="L30" s="15"/>
      <c r="M30" s="47"/>
    </row>
    <row r="31" spans="1:13">
      <c r="A31" s="145"/>
      <c r="B31" s="146"/>
      <c r="C31" s="228" t="s">
        <v>264</v>
      </c>
      <c r="D31" s="147" t="e">
        <f>LEFT(#REF!,FIND(" ",#REF!)-1)</f>
        <v>#REF!</v>
      </c>
      <c r="E31" s="20">
        <v>3</v>
      </c>
      <c r="F31" s="148"/>
      <c r="H31" s="124">
        <v>3</v>
      </c>
      <c r="I31" s="126">
        <f t="shared" ref="I31:I33" si="0">COUNTIF(E$2:E$60,H31)</f>
        <v>12</v>
      </c>
      <c r="L31" s="15"/>
      <c r="M31" s="47"/>
    </row>
    <row r="32" spans="1:13">
      <c r="A32" s="145"/>
      <c r="B32" s="146"/>
      <c r="C32" s="228" t="s">
        <v>279</v>
      </c>
      <c r="D32" s="147" t="e">
        <f>LEFT(#REF!,FIND(" ",#REF!)-1)</f>
        <v>#REF!</v>
      </c>
      <c r="E32" s="20">
        <v>3</v>
      </c>
      <c r="F32" s="148">
        <v>2</v>
      </c>
      <c r="H32" s="124">
        <v>6</v>
      </c>
      <c r="I32" s="126">
        <f t="shared" si="0"/>
        <v>10</v>
      </c>
      <c r="L32" s="15"/>
      <c r="M32" s="47"/>
    </row>
    <row r="33" spans="1:15">
      <c r="A33" s="149"/>
      <c r="B33" s="150"/>
      <c r="C33" s="228" t="s">
        <v>265</v>
      </c>
      <c r="D33" s="147" t="e">
        <f>LEFT(#REF!,FIND(" ",#REF!)-1)</f>
        <v>#REF!</v>
      </c>
      <c r="E33" s="148">
        <v>10</v>
      </c>
      <c r="F33" s="148">
        <v>2</v>
      </c>
      <c r="H33" s="125">
        <v>10</v>
      </c>
      <c r="I33" s="127">
        <f t="shared" si="0"/>
        <v>10</v>
      </c>
      <c r="L33" s="15"/>
      <c r="M33" s="47"/>
    </row>
    <row r="34" spans="1:15">
      <c r="A34" s="47">
        <v>9</v>
      </c>
      <c r="B34" s="48"/>
      <c r="C34" s="87" t="s">
        <v>249</v>
      </c>
      <c r="D34" s="45" t="e">
        <f>LEFT(#REF!,FIND(" ",#REF!)-1)</f>
        <v>#REF!</v>
      </c>
      <c r="E34" s="16">
        <v>6</v>
      </c>
      <c r="F34" s="88"/>
      <c r="L34" s="15"/>
      <c r="M34" s="47"/>
    </row>
    <row r="35" spans="1:15">
      <c r="B35" s="48"/>
      <c r="C35" s="19" t="s">
        <v>254</v>
      </c>
      <c r="D35" s="45" t="e">
        <f>LEFT(#REF!,FIND(" ",#REF!)-1)</f>
        <v>#REF!</v>
      </c>
      <c r="E35" s="16">
        <v>3</v>
      </c>
      <c r="F35" s="88">
        <v>4</v>
      </c>
      <c r="J35" s="47"/>
      <c r="L35" s="15"/>
      <c r="M35" s="47"/>
      <c r="O35" s="7"/>
    </row>
    <row r="36" spans="1:15">
      <c r="B36" s="48"/>
      <c r="C36" s="19" t="s">
        <v>257</v>
      </c>
      <c r="D36" s="45" t="e">
        <f>LEFT(#REF!,FIND(" ",#REF!)-1)</f>
        <v>#REF!</v>
      </c>
      <c r="E36" s="16">
        <v>10</v>
      </c>
      <c r="F36" s="88"/>
      <c r="J36" s="47"/>
      <c r="L36" s="15"/>
      <c r="M36" s="47"/>
      <c r="O36" s="7"/>
    </row>
    <row r="37" spans="1:15">
      <c r="A37" s="65"/>
      <c r="B37" s="66"/>
      <c r="C37" s="19" t="s">
        <v>268</v>
      </c>
      <c r="D37" s="45" t="e">
        <f>LEFT(#REF!,FIND(" ",#REF!)-1)</f>
        <v>#REF!</v>
      </c>
      <c r="E37" s="16">
        <v>1</v>
      </c>
      <c r="F37" s="88"/>
      <c r="J37" s="15"/>
      <c r="L37" s="15"/>
      <c r="M37" s="15"/>
    </row>
    <row r="38" spans="1:15">
      <c r="A38" s="145">
        <v>10</v>
      </c>
      <c r="B38" s="146"/>
      <c r="C38" s="148" t="s">
        <v>262</v>
      </c>
      <c r="D38" s="147" t="e">
        <f>LEFT(#REF!,FIND(" ",#REF!)-1)</f>
        <v>#REF!</v>
      </c>
      <c r="E38" s="261">
        <v>10</v>
      </c>
      <c r="F38" s="88"/>
      <c r="J38" s="15"/>
      <c r="L38" s="15"/>
      <c r="M38" s="15"/>
    </row>
    <row r="39" spans="1:15">
      <c r="A39" s="145"/>
      <c r="B39" s="146"/>
      <c r="C39" s="148" t="s">
        <v>256</v>
      </c>
      <c r="D39" s="147" t="e">
        <f>LEFT(#REF!,FIND(" ",#REF!)-1)</f>
        <v>#REF!</v>
      </c>
      <c r="E39" s="261">
        <v>1</v>
      </c>
      <c r="F39" s="88"/>
      <c r="J39" s="15"/>
      <c r="L39" s="15"/>
      <c r="M39" s="15"/>
    </row>
    <row r="40" spans="1:15">
      <c r="A40" s="145"/>
      <c r="B40" s="146"/>
      <c r="C40" s="148" t="s">
        <v>255</v>
      </c>
      <c r="D40" s="147" t="e">
        <f>LEFT(#REF!,FIND(" ",#REF!)-1)</f>
        <v>#REF!</v>
      </c>
      <c r="E40" s="261">
        <v>3</v>
      </c>
      <c r="F40" s="88"/>
      <c r="J40" s="15"/>
      <c r="L40" s="15"/>
      <c r="M40" s="15"/>
    </row>
    <row r="41" spans="1:15">
      <c r="A41" s="149"/>
      <c r="B41" s="150"/>
      <c r="C41" s="148" t="s">
        <v>267</v>
      </c>
      <c r="D41" s="147" t="e">
        <f>LEFT(#REF!,FIND(" ",#REF!)-1)</f>
        <v>#REF!</v>
      </c>
      <c r="E41" s="261">
        <v>6</v>
      </c>
      <c r="F41" s="88"/>
      <c r="J41" s="15"/>
      <c r="L41" s="15"/>
      <c r="M41" s="15"/>
    </row>
    <row r="42" spans="1:15">
      <c r="A42" s="47">
        <v>11</v>
      </c>
      <c r="B42" s="48"/>
      <c r="C42" s="87" t="s">
        <v>282</v>
      </c>
      <c r="D42" s="45" t="e">
        <f t="shared" ref="D42:D49" si="1">LEFT(C42,FIND(" ",C42)-1)</f>
        <v>#VALUE!</v>
      </c>
      <c r="E42" s="16"/>
      <c r="F42" s="88"/>
      <c r="J42" s="15"/>
      <c r="L42" s="15"/>
      <c r="M42" s="15"/>
    </row>
    <row r="43" spans="1:15">
      <c r="B43" s="48"/>
      <c r="C43" s="19" t="s">
        <v>282</v>
      </c>
      <c r="D43" s="45" t="e">
        <f t="shared" si="1"/>
        <v>#VALUE!</v>
      </c>
      <c r="E43" s="16"/>
      <c r="F43" s="88"/>
      <c r="L43" s="15"/>
    </row>
    <row r="44" spans="1:15">
      <c r="B44" s="48"/>
      <c r="C44" s="19" t="s">
        <v>282</v>
      </c>
      <c r="D44" s="45" t="e">
        <f t="shared" si="1"/>
        <v>#VALUE!</v>
      </c>
      <c r="E44" s="16"/>
      <c r="F44" s="88"/>
      <c r="L44" s="15"/>
    </row>
    <row r="45" spans="1:15">
      <c r="A45" s="65"/>
      <c r="B45" s="66"/>
      <c r="C45" s="19" t="s">
        <v>282</v>
      </c>
      <c r="D45" s="45" t="e">
        <f t="shared" si="1"/>
        <v>#VALUE!</v>
      </c>
      <c r="E45" s="16"/>
      <c r="F45" s="88"/>
      <c r="L45" s="15"/>
    </row>
    <row r="46" spans="1:15">
      <c r="A46" s="145">
        <v>12</v>
      </c>
      <c r="B46" s="48"/>
      <c r="C46" s="148" t="s">
        <v>282</v>
      </c>
      <c r="D46" s="147" t="e">
        <f t="shared" si="1"/>
        <v>#VALUE!</v>
      </c>
      <c r="E46" s="214"/>
      <c r="F46" s="152"/>
    </row>
    <row r="47" spans="1:15">
      <c r="A47" s="145"/>
      <c r="B47" s="48"/>
      <c r="C47" s="148" t="s">
        <v>282</v>
      </c>
      <c r="D47" s="147" t="e">
        <f t="shared" si="1"/>
        <v>#VALUE!</v>
      </c>
      <c r="E47" s="214"/>
      <c r="F47" s="152"/>
    </row>
    <row r="48" spans="1:15">
      <c r="A48" s="145"/>
      <c r="B48" s="48"/>
      <c r="C48" s="148" t="s">
        <v>282</v>
      </c>
      <c r="D48" s="147" t="e">
        <f t="shared" si="1"/>
        <v>#VALUE!</v>
      </c>
      <c r="E48" s="214"/>
      <c r="F48" s="152"/>
    </row>
    <row r="49" spans="1:9">
      <c r="A49" s="149"/>
      <c r="B49" s="66"/>
      <c r="C49" s="148" t="s">
        <v>282</v>
      </c>
      <c r="D49" s="147" t="e">
        <f t="shared" si="1"/>
        <v>#VALUE!</v>
      </c>
      <c r="E49" s="214"/>
      <c r="F49" s="152"/>
      <c r="I49" s="64"/>
    </row>
    <row r="50" spans="1:9">
      <c r="A50" s="47">
        <v>13</v>
      </c>
      <c r="B50" s="48"/>
      <c r="C50" s="87" t="s">
        <v>282</v>
      </c>
      <c r="D50" s="45"/>
      <c r="E50" s="16"/>
      <c r="F50" s="88"/>
    </row>
    <row r="51" spans="1:9">
      <c r="B51" s="48"/>
      <c r="C51" s="19" t="s">
        <v>282</v>
      </c>
      <c r="D51" s="45"/>
      <c r="E51" s="16"/>
      <c r="F51" s="88"/>
    </row>
    <row r="52" spans="1:9">
      <c r="B52" s="48"/>
      <c r="C52" s="19" t="s">
        <v>282</v>
      </c>
      <c r="D52" s="45"/>
      <c r="E52" s="16"/>
      <c r="F52" s="88"/>
    </row>
    <row r="53" spans="1:9">
      <c r="A53" s="65"/>
      <c r="B53" s="66"/>
      <c r="C53" s="19" t="s">
        <v>282</v>
      </c>
      <c r="D53" s="45"/>
      <c r="E53" s="16"/>
      <c r="F53" s="88"/>
    </row>
    <row r="54" spans="1:9">
      <c r="A54" s="145">
        <v>14</v>
      </c>
      <c r="B54" s="48"/>
      <c r="C54" s="148" t="s">
        <v>282</v>
      </c>
      <c r="D54" s="147"/>
      <c r="E54" s="214"/>
      <c r="F54" s="152"/>
    </row>
    <row r="55" spans="1:9">
      <c r="A55" s="145"/>
      <c r="B55" s="48"/>
      <c r="C55" s="148" t="s">
        <v>282</v>
      </c>
      <c r="D55" s="147"/>
      <c r="E55" s="214"/>
      <c r="F55" s="152"/>
    </row>
    <row r="56" spans="1:9">
      <c r="A56" s="145"/>
      <c r="B56" s="48"/>
      <c r="C56" s="148" t="s">
        <v>282</v>
      </c>
      <c r="D56" s="147"/>
      <c r="E56" s="214"/>
      <c r="F56" s="152"/>
    </row>
    <row r="57" spans="1:9">
      <c r="A57" s="149"/>
      <c r="B57" s="66"/>
      <c r="C57" s="148" t="s">
        <v>282</v>
      </c>
      <c r="D57" s="147"/>
      <c r="E57" s="214"/>
      <c r="F57" s="152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L23" sqref="L2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67"/>
      <c r="D1" s="69"/>
      <c r="E1" s="259" t="s">
        <v>56</v>
      </c>
      <c r="F1" s="231" t="s">
        <v>57</v>
      </c>
    </row>
    <row r="2" spans="1:18" ht="12.75" customHeight="1">
      <c r="A2" s="47">
        <v>1</v>
      </c>
      <c r="B2" s="48"/>
      <c r="C2" s="19" t="s">
        <v>272</v>
      </c>
      <c r="D2" s="45"/>
      <c r="E2" s="260">
        <v>10</v>
      </c>
      <c r="F2" s="229">
        <v>1</v>
      </c>
      <c r="L2" s="15"/>
    </row>
    <row r="3" spans="1:18" ht="12.75" customHeight="1">
      <c r="B3" s="48"/>
      <c r="C3" s="19" t="s">
        <v>260</v>
      </c>
      <c r="D3" s="45"/>
      <c r="E3" s="261">
        <v>1</v>
      </c>
      <c r="F3" s="19">
        <v>5</v>
      </c>
      <c r="L3" s="15"/>
    </row>
    <row r="4" spans="1:18" ht="12.75" customHeight="1">
      <c r="B4" s="48"/>
      <c r="C4" s="19" t="s">
        <v>277</v>
      </c>
      <c r="D4" s="45"/>
      <c r="E4" s="261">
        <v>3</v>
      </c>
      <c r="F4" s="19">
        <v>2</v>
      </c>
      <c r="H4" s="64"/>
      <c r="J4" s="44"/>
      <c r="K4" s="7"/>
      <c r="L4" s="202"/>
    </row>
    <row r="5" spans="1:18" ht="12.75" customHeight="1">
      <c r="A5" s="65"/>
      <c r="B5" s="66"/>
      <c r="C5" s="19" t="s">
        <v>253</v>
      </c>
      <c r="D5" s="45"/>
      <c r="E5" s="261">
        <v>6</v>
      </c>
      <c r="F5" s="19"/>
      <c r="L5" s="15"/>
    </row>
    <row r="6" spans="1:18">
      <c r="A6" s="145">
        <v>2</v>
      </c>
      <c r="B6" s="146"/>
      <c r="C6" s="148" t="s">
        <v>279</v>
      </c>
      <c r="D6" s="147"/>
      <c r="E6" s="20">
        <v>6</v>
      </c>
      <c r="F6" s="148"/>
      <c r="K6" s="7"/>
      <c r="L6" s="15"/>
    </row>
    <row r="7" spans="1:18" ht="12.75" customHeight="1">
      <c r="A7" s="145"/>
      <c r="B7" s="146"/>
      <c r="C7" s="148" t="s">
        <v>259</v>
      </c>
      <c r="D7" s="147"/>
      <c r="E7" s="20">
        <v>3</v>
      </c>
      <c r="F7" s="148"/>
      <c r="L7" s="15"/>
    </row>
    <row r="8" spans="1:18" ht="12.75" customHeight="1">
      <c r="A8" s="145"/>
      <c r="B8" s="146"/>
      <c r="C8" s="148" t="s">
        <v>267</v>
      </c>
      <c r="D8" s="147"/>
      <c r="E8" s="20">
        <v>10</v>
      </c>
      <c r="F8" s="148"/>
      <c r="L8" s="15"/>
    </row>
    <row r="9" spans="1:18" ht="12.75" customHeight="1">
      <c r="A9" s="149"/>
      <c r="B9" s="150"/>
      <c r="C9" s="148" t="s">
        <v>252</v>
      </c>
      <c r="D9" s="147"/>
      <c r="E9" s="20">
        <v>1</v>
      </c>
      <c r="F9" s="148"/>
      <c r="L9" s="15"/>
    </row>
    <row r="10" spans="1:18" ht="12.75" customHeight="1">
      <c r="A10" s="47">
        <v>3</v>
      </c>
      <c r="B10" s="48"/>
      <c r="C10" s="19" t="s">
        <v>273</v>
      </c>
      <c r="D10" s="45"/>
      <c r="E10" s="20">
        <v>6</v>
      </c>
      <c r="F10" s="19"/>
      <c r="L10" s="15"/>
    </row>
    <row r="11" spans="1:18">
      <c r="B11" s="48"/>
      <c r="C11" s="19" t="s">
        <v>268</v>
      </c>
      <c r="D11" s="45"/>
      <c r="E11" s="20">
        <v>10</v>
      </c>
      <c r="F11" s="19"/>
      <c r="L11" s="15"/>
    </row>
    <row r="12" spans="1:18">
      <c r="B12" s="48"/>
      <c r="C12" s="19" t="s">
        <v>270</v>
      </c>
      <c r="D12" s="45"/>
      <c r="E12" s="20">
        <v>1</v>
      </c>
      <c r="F12" s="19"/>
      <c r="L12" s="15"/>
      <c r="R12" s="47"/>
    </row>
    <row r="13" spans="1:18">
      <c r="A13" s="65"/>
      <c r="B13" s="66"/>
      <c r="C13" s="19" t="s">
        <v>258</v>
      </c>
      <c r="D13" s="45"/>
      <c r="E13" s="20">
        <v>6</v>
      </c>
      <c r="F13" s="19"/>
      <c r="L13" s="15"/>
    </row>
    <row r="14" spans="1:18">
      <c r="A14" s="145">
        <v>4</v>
      </c>
      <c r="B14" s="146"/>
      <c r="C14" s="148" t="s">
        <v>262</v>
      </c>
      <c r="D14" s="147"/>
      <c r="E14" s="20">
        <v>10</v>
      </c>
      <c r="F14" s="148">
        <v>1</v>
      </c>
      <c r="L14" s="15"/>
    </row>
    <row r="15" spans="1:18">
      <c r="A15" s="145"/>
      <c r="B15" s="146"/>
      <c r="C15" s="148" t="s">
        <v>276</v>
      </c>
      <c r="D15" s="147"/>
      <c r="E15" s="20">
        <v>10</v>
      </c>
      <c r="F15" s="148">
        <v>1</v>
      </c>
      <c r="L15" s="15"/>
    </row>
    <row r="16" spans="1:18">
      <c r="A16" s="145"/>
      <c r="B16" s="146"/>
      <c r="C16" s="148" t="s">
        <v>280</v>
      </c>
      <c r="D16" s="147"/>
      <c r="E16" s="20">
        <v>3</v>
      </c>
      <c r="F16" s="148">
        <v>1</v>
      </c>
      <c r="J16" s="47"/>
      <c r="L16" s="15"/>
    </row>
    <row r="17" spans="1:16">
      <c r="A17" s="149"/>
      <c r="B17" s="150"/>
      <c r="C17" s="148" t="s">
        <v>257</v>
      </c>
      <c r="D17" s="147"/>
      <c r="E17" s="20">
        <v>1</v>
      </c>
      <c r="F17" s="148">
        <v>1</v>
      </c>
      <c r="L17" s="15"/>
    </row>
    <row r="18" spans="1:16">
      <c r="A18" s="47">
        <v>5</v>
      </c>
      <c r="B18" s="48"/>
      <c r="C18" s="19" t="s">
        <v>33</v>
      </c>
      <c r="D18" s="45"/>
      <c r="E18" s="20">
        <v>3</v>
      </c>
      <c r="F18" s="19"/>
      <c r="L18" s="15"/>
    </row>
    <row r="19" spans="1:16">
      <c r="B19" s="48"/>
      <c r="C19" s="19" t="s">
        <v>246</v>
      </c>
      <c r="D19" s="45"/>
      <c r="E19" s="20">
        <v>6</v>
      </c>
      <c r="F19" s="19"/>
      <c r="L19" s="15"/>
    </row>
    <row r="20" spans="1:16">
      <c r="B20" s="48"/>
      <c r="C20" s="19" t="s">
        <v>251</v>
      </c>
      <c r="D20" s="45"/>
      <c r="E20" s="20">
        <v>10</v>
      </c>
      <c r="F20" s="19"/>
      <c r="L20" s="15"/>
    </row>
    <row r="21" spans="1:16">
      <c r="A21" s="65"/>
      <c r="B21" s="66"/>
      <c r="C21" s="19" t="s">
        <v>281</v>
      </c>
      <c r="D21" s="45"/>
      <c r="E21" s="20">
        <v>1</v>
      </c>
      <c r="F21" s="19"/>
      <c r="L21" s="15"/>
    </row>
    <row r="22" spans="1:16">
      <c r="A22" s="145">
        <v>6</v>
      </c>
      <c r="B22" s="146"/>
      <c r="C22" s="148" t="s">
        <v>282</v>
      </c>
      <c r="D22" s="147"/>
      <c r="E22" s="20"/>
      <c r="F22" s="148"/>
      <c r="L22" s="15"/>
    </row>
    <row r="23" spans="1:16">
      <c r="A23" s="145"/>
      <c r="B23" s="146"/>
      <c r="C23" s="148" t="s">
        <v>282</v>
      </c>
      <c r="D23" s="147"/>
      <c r="E23" s="148"/>
      <c r="F23" s="148"/>
      <c r="L23" s="15"/>
      <c r="P23"/>
    </row>
    <row r="24" spans="1:16">
      <c r="A24" s="145"/>
      <c r="B24" s="146"/>
      <c r="C24" s="148" t="s">
        <v>282</v>
      </c>
      <c r="D24" s="147"/>
      <c r="E24" s="148"/>
      <c r="F24" s="148"/>
      <c r="H24" s="64"/>
      <c r="J24" s="47"/>
      <c r="L24" s="15"/>
      <c r="P24"/>
    </row>
    <row r="25" spans="1:16">
      <c r="A25" s="149"/>
      <c r="B25" s="150"/>
      <c r="C25" s="148" t="s">
        <v>282</v>
      </c>
      <c r="D25" s="147"/>
      <c r="E25" s="148"/>
      <c r="F25" s="148"/>
      <c r="H25" s="64"/>
      <c r="J25" s="68"/>
      <c r="L25" s="7"/>
      <c r="P25"/>
    </row>
    <row r="26" spans="1:16">
      <c r="A26" s="47">
        <v>7</v>
      </c>
      <c r="B26" s="48"/>
      <c r="C26" s="19" t="s">
        <v>282</v>
      </c>
      <c r="D26" s="45" t="e">
        <f t="shared" ref="D26:D45" si="0">LEFT(C26,FIND(" ",C26)-1)</f>
        <v>#VALUE!</v>
      </c>
      <c r="E26" s="260"/>
      <c r="F26" s="19"/>
      <c r="J26" s="47"/>
      <c r="L26" s="15"/>
      <c r="P26"/>
    </row>
    <row r="27" spans="1:16">
      <c r="B27" s="48"/>
      <c r="C27" s="19" t="s">
        <v>282</v>
      </c>
      <c r="D27" s="45" t="str">
        <f>LEFT(C20,FIND(" ",C20)-1)</f>
        <v>Chris</v>
      </c>
      <c r="E27" s="261"/>
      <c r="F27" s="19"/>
      <c r="J27" s="47"/>
      <c r="L27" s="15"/>
      <c r="M27" s="132"/>
      <c r="P27"/>
    </row>
    <row r="28" spans="1:16">
      <c r="B28" s="48"/>
      <c r="C28" s="19" t="s">
        <v>282</v>
      </c>
      <c r="D28" s="45" t="e">
        <f>LEFT(C22,FIND(" ",C22)-1)</f>
        <v>#VALUE!</v>
      </c>
      <c r="E28" s="261"/>
      <c r="F28" s="19"/>
      <c r="J28" s="47"/>
      <c r="L28" s="15"/>
    </row>
    <row r="29" spans="1:16" ht="13.5" customHeight="1" thickBot="1">
      <c r="A29" s="65"/>
      <c r="B29" s="66"/>
      <c r="C29" s="19" t="s">
        <v>282</v>
      </c>
      <c r="D29" s="45" t="e">
        <f t="shared" si="0"/>
        <v>#VALUE!</v>
      </c>
      <c r="E29" s="261"/>
      <c r="F29" s="19"/>
      <c r="H29" s="129" t="s">
        <v>137</v>
      </c>
      <c r="I29" s="130"/>
      <c r="K29" s="131" t="s">
        <v>127</v>
      </c>
      <c r="L29" s="15"/>
      <c r="N29" s="94"/>
      <c r="O29" s="7"/>
    </row>
    <row r="30" spans="1:16" ht="13.5" thickTop="1">
      <c r="A30" s="145">
        <v>8</v>
      </c>
      <c r="B30" s="146"/>
      <c r="C30" s="148" t="s">
        <v>282</v>
      </c>
      <c r="D30" s="147" t="e">
        <f t="shared" si="0"/>
        <v>#VALUE!</v>
      </c>
      <c r="E30" s="227"/>
      <c r="F30" s="151"/>
      <c r="H30" s="128">
        <v>1</v>
      </c>
      <c r="I30" s="126">
        <f>COUNTIF(E$2:E$60,H30)</f>
        <v>5</v>
      </c>
      <c r="K30" s="19">
        <f>SUM(F2:F55)</f>
        <v>12</v>
      </c>
      <c r="L30" s="15"/>
    </row>
    <row r="31" spans="1:16">
      <c r="A31" s="145"/>
      <c r="B31" s="146"/>
      <c r="C31" s="228" t="s">
        <v>282</v>
      </c>
      <c r="D31" s="147" t="e">
        <f t="shared" si="0"/>
        <v>#VALUE!</v>
      </c>
      <c r="E31" s="227"/>
      <c r="F31" s="152"/>
      <c r="H31" s="124">
        <v>3</v>
      </c>
      <c r="I31" s="126">
        <f t="shared" ref="I31:I33" si="1">COUNTIF(E$2:E$60,H31)</f>
        <v>4</v>
      </c>
      <c r="L31" s="15"/>
    </row>
    <row r="32" spans="1:16">
      <c r="A32" s="145"/>
      <c r="B32" s="146"/>
      <c r="C32" s="228" t="s">
        <v>282</v>
      </c>
      <c r="D32" s="147" t="e">
        <f t="shared" si="0"/>
        <v>#VALUE!</v>
      </c>
      <c r="E32" s="227"/>
      <c r="F32" s="152"/>
      <c r="H32" s="124">
        <v>6</v>
      </c>
      <c r="I32" s="126">
        <f t="shared" si="1"/>
        <v>5</v>
      </c>
      <c r="L32" s="15"/>
    </row>
    <row r="33" spans="1:12">
      <c r="A33" s="149"/>
      <c r="B33" s="150"/>
      <c r="C33" s="228" t="s">
        <v>282</v>
      </c>
      <c r="D33" s="147" t="e">
        <f t="shared" si="0"/>
        <v>#VALUE!</v>
      </c>
      <c r="E33" s="227"/>
      <c r="F33" s="152"/>
      <c r="H33" s="125">
        <v>10</v>
      </c>
      <c r="I33" s="127">
        <f t="shared" si="1"/>
        <v>6</v>
      </c>
      <c r="L33" s="15"/>
    </row>
    <row r="34" spans="1:12">
      <c r="A34" s="47">
        <v>9</v>
      </c>
      <c r="B34" s="48"/>
      <c r="C34" s="87" t="s">
        <v>282</v>
      </c>
      <c r="D34" s="45" t="e">
        <f t="shared" si="0"/>
        <v>#VALUE!</v>
      </c>
      <c r="E34" s="16"/>
      <c r="F34" s="88"/>
      <c r="L34" s="15"/>
    </row>
    <row r="35" spans="1:12">
      <c r="B35" s="48"/>
      <c r="C35" s="19" t="s">
        <v>282</v>
      </c>
      <c r="D35" s="45" t="e">
        <f t="shared" si="0"/>
        <v>#VALUE!</v>
      </c>
      <c r="E35" s="16"/>
      <c r="F35" s="88"/>
      <c r="J35" s="47"/>
      <c r="L35" s="15"/>
    </row>
    <row r="36" spans="1:12">
      <c r="B36" s="48"/>
      <c r="C36" s="19" t="s">
        <v>282</v>
      </c>
      <c r="D36" s="45" t="e">
        <f t="shared" si="0"/>
        <v>#VALUE!</v>
      </c>
      <c r="E36" s="16"/>
      <c r="F36" s="88"/>
      <c r="J36" s="47"/>
      <c r="L36" s="15"/>
    </row>
    <row r="37" spans="1:12">
      <c r="A37" s="65"/>
      <c r="B37" s="66"/>
      <c r="C37" s="19" t="s">
        <v>282</v>
      </c>
      <c r="D37" s="45" t="e">
        <f t="shared" si="0"/>
        <v>#VALUE!</v>
      </c>
      <c r="E37" s="16"/>
      <c r="F37" s="88"/>
      <c r="J37" s="15"/>
      <c r="L37" s="15"/>
    </row>
    <row r="38" spans="1:12">
      <c r="A38" s="145">
        <v>10</v>
      </c>
      <c r="B38" s="146"/>
      <c r="C38" s="148" t="s">
        <v>282</v>
      </c>
      <c r="D38" s="147" t="e">
        <f t="shared" si="0"/>
        <v>#VALUE!</v>
      </c>
      <c r="E38" s="214"/>
      <c r="F38" s="152"/>
      <c r="J38" s="15"/>
      <c r="L38" s="15"/>
    </row>
    <row r="39" spans="1:12">
      <c r="A39" s="145"/>
      <c r="B39" s="146"/>
      <c r="C39" s="148" t="s">
        <v>282</v>
      </c>
      <c r="D39" s="147" t="e">
        <f t="shared" si="0"/>
        <v>#VALUE!</v>
      </c>
      <c r="E39" s="214"/>
      <c r="F39" s="152"/>
      <c r="J39" s="15"/>
      <c r="L39" s="15"/>
    </row>
    <row r="40" spans="1:12">
      <c r="A40" s="145"/>
      <c r="B40" s="146"/>
      <c r="C40" s="148" t="s">
        <v>282</v>
      </c>
      <c r="D40" s="147" t="e">
        <f t="shared" si="0"/>
        <v>#VALUE!</v>
      </c>
      <c r="E40" s="214"/>
      <c r="F40" s="152"/>
      <c r="J40" s="15"/>
      <c r="L40" s="15"/>
    </row>
    <row r="41" spans="1:12">
      <c r="A41" s="149"/>
      <c r="B41" s="150"/>
      <c r="C41" s="148" t="s">
        <v>282</v>
      </c>
      <c r="D41" s="147" t="e">
        <f t="shared" si="0"/>
        <v>#VALUE!</v>
      </c>
      <c r="E41" s="214"/>
      <c r="F41" s="152"/>
      <c r="J41" s="15"/>
      <c r="L41" s="15"/>
    </row>
    <row r="42" spans="1:12">
      <c r="A42" s="47">
        <v>11</v>
      </c>
      <c r="B42" s="48"/>
      <c r="C42" s="87" t="s">
        <v>282</v>
      </c>
      <c r="D42" s="45" t="e">
        <f t="shared" si="0"/>
        <v>#VALUE!</v>
      </c>
      <c r="E42" s="16"/>
      <c r="F42" s="88"/>
      <c r="J42" s="15"/>
      <c r="L42" s="15"/>
    </row>
    <row r="43" spans="1:12">
      <c r="B43" s="48"/>
      <c r="C43" s="19" t="s">
        <v>282</v>
      </c>
      <c r="D43" s="45" t="e">
        <f t="shared" si="0"/>
        <v>#VALUE!</v>
      </c>
      <c r="E43" s="16"/>
      <c r="F43" s="88"/>
      <c r="L43" s="15"/>
    </row>
    <row r="44" spans="1:12">
      <c r="B44" s="48"/>
      <c r="C44" s="19" t="s">
        <v>282</v>
      </c>
      <c r="D44" s="45" t="e">
        <f t="shared" si="0"/>
        <v>#VALUE!</v>
      </c>
      <c r="E44" s="16"/>
      <c r="F44" s="88"/>
      <c r="L44" s="15"/>
    </row>
    <row r="45" spans="1:12">
      <c r="A45" s="65"/>
      <c r="B45" s="66"/>
      <c r="C45" s="19" t="s">
        <v>282</v>
      </c>
      <c r="D45" s="45" t="e">
        <f t="shared" si="0"/>
        <v>#VALUE!</v>
      </c>
      <c r="E45" s="16"/>
      <c r="F45" s="88"/>
      <c r="L45" s="15"/>
    </row>
    <row r="46" spans="1:12">
      <c r="A46" s="145">
        <v>12</v>
      </c>
      <c r="B46" s="48"/>
      <c r="C46" s="148" t="s">
        <v>282</v>
      </c>
      <c r="D46" s="147"/>
      <c r="E46" s="214"/>
      <c r="F46" s="152"/>
    </row>
    <row r="47" spans="1:12">
      <c r="A47" s="145"/>
      <c r="B47" s="48"/>
      <c r="C47" s="148" t="s">
        <v>282</v>
      </c>
      <c r="D47" s="147"/>
      <c r="E47" s="214"/>
      <c r="F47" s="152"/>
    </row>
    <row r="48" spans="1:12">
      <c r="A48" s="145"/>
      <c r="B48" s="48"/>
      <c r="C48" s="148" t="s">
        <v>282</v>
      </c>
      <c r="D48" s="147"/>
      <c r="E48" s="214"/>
      <c r="F48" s="152"/>
    </row>
    <row r="49" spans="1:9">
      <c r="A49" s="149"/>
      <c r="B49" s="66"/>
      <c r="C49" s="148" t="s">
        <v>282</v>
      </c>
      <c r="D49" s="147"/>
      <c r="E49" s="214"/>
      <c r="F49" s="152"/>
      <c r="I49" s="64"/>
    </row>
    <row r="50" spans="1:9">
      <c r="A50" s="47">
        <v>13</v>
      </c>
      <c r="B50" s="48"/>
      <c r="C50" s="87" t="s">
        <v>282</v>
      </c>
      <c r="D50" s="45"/>
      <c r="E50" s="16"/>
      <c r="F50" s="88"/>
    </row>
    <row r="51" spans="1:9">
      <c r="B51" s="48"/>
      <c r="C51" s="19" t="s">
        <v>282</v>
      </c>
      <c r="D51" s="45"/>
      <c r="E51" s="16"/>
      <c r="F51" s="88"/>
    </row>
    <row r="52" spans="1:9">
      <c r="B52" s="48"/>
      <c r="C52" s="19" t="s">
        <v>282</v>
      </c>
      <c r="D52" s="45"/>
      <c r="E52" s="16"/>
      <c r="F52" s="88"/>
    </row>
    <row r="53" spans="1:9">
      <c r="A53" s="65"/>
      <c r="B53" s="66"/>
      <c r="C53" s="19" t="s">
        <v>282</v>
      </c>
      <c r="D53" s="45"/>
      <c r="E53" s="16"/>
      <c r="F53" s="88"/>
    </row>
    <row r="54" spans="1:9">
      <c r="A54" s="145">
        <v>14</v>
      </c>
      <c r="B54" s="48"/>
      <c r="C54" s="148" t="s">
        <v>282</v>
      </c>
      <c r="D54" s="147"/>
      <c r="E54" s="214"/>
      <c r="F54" s="152"/>
    </row>
    <row r="55" spans="1:9">
      <c r="A55" s="145"/>
      <c r="B55" s="48"/>
      <c r="C55" s="148" t="s">
        <v>282</v>
      </c>
      <c r="D55" s="147"/>
      <c r="E55" s="214"/>
      <c r="F55" s="152"/>
    </row>
    <row r="56" spans="1:9">
      <c r="A56" s="145"/>
      <c r="B56" s="48"/>
      <c r="C56" s="148" t="s">
        <v>282</v>
      </c>
      <c r="D56" s="147"/>
      <c r="E56" s="214"/>
      <c r="F56" s="152"/>
    </row>
    <row r="57" spans="1:9">
      <c r="A57" s="149"/>
      <c r="B57" s="66"/>
      <c r="C57" s="148" t="s">
        <v>282</v>
      </c>
      <c r="D57" s="147"/>
      <c r="E57" s="214"/>
      <c r="F57" s="152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C2:C39 C54:C57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topLeftCell="A20"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70"/>
      <c r="B1" s="89" t="s">
        <v>130</v>
      </c>
      <c r="C1" s="89" t="s">
        <v>37</v>
      </c>
      <c r="D1" s="89" t="s">
        <v>38</v>
      </c>
      <c r="E1" s="90" t="s">
        <v>36</v>
      </c>
    </row>
    <row r="2" spans="1:7">
      <c r="A2" s="71" t="str">
        <f>AanwezigReserve!D3</f>
        <v>Brigitte Raeymaekers</v>
      </c>
      <c r="B2">
        <f>_xlfn.XLOOKUP($A2,Ronde1!$C:$C,Ronde1!$E:$E,"-")</f>
        <v>6</v>
      </c>
      <c r="C2">
        <f>_xlfn.XLOOKUP($A2,Ronde2!$C:$C,Ronde2!$E:$E,"-")</f>
        <v>10</v>
      </c>
      <c r="D2">
        <f>_xlfn.XLOOKUP($A2,Ronde3!$C:$C,Ronde3!$E:$E,"-")</f>
        <v>3</v>
      </c>
      <c r="E2" s="51">
        <f>_xlfn.XLOOKUP($A2,Ronde4!$C:$C,Ronde4!$E:$E,"-")</f>
        <v>6</v>
      </c>
      <c r="G2">
        <f>SUM(B2:E2)</f>
        <v>25</v>
      </c>
    </row>
    <row r="3" spans="1:7">
      <c r="A3" s="71" t="str">
        <f>AanwezigReserve!D4</f>
        <v>Chris Cuppens</v>
      </c>
      <c r="B3">
        <f>_xlfn.XLOOKUP(A3,Ronde1!C:C,Ronde1!E:E,"-")</f>
        <v>10</v>
      </c>
      <c r="C3">
        <f>_xlfn.XLOOKUP($A3,Ronde2!$C:$C,Ronde2!$E:$E,"-")</f>
        <v>10</v>
      </c>
      <c r="D3">
        <f>_xlfn.XLOOKUP($A3,Ronde3!$C:$C,Ronde3!$E:$E,"-")</f>
        <v>3</v>
      </c>
      <c r="E3" s="51">
        <f>_xlfn.XLOOKUP($A3,Ronde4!$C:$C,Ronde4!$E:$E,"-")</f>
        <v>10</v>
      </c>
      <c r="G3">
        <f t="shared" ref="G3:G57" si="0">SUM(B3:E3)</f>
        <v>33</v>
      </c>
    </row>
    <row r="4" spans="1:7">
      <c r="A4" s="71" t="str">
        <f>AanwezigReserve!D5</f>
        <v>Christiane De Maesschalck</v>
      </c>
      <c r="B4">
        <f>_xlfn.XLOOKUP(A4,Ronde1!C:C,Ronde1!E:E,"-")</f>
        <v>10</v>
      </c>
      <c r="C4">
        <f>_xlfn.XLOOKUP($A4,Ronde2!$C:$C,Ronde2!$E:$E,"-")</f>
        <v>3</v>
      </c>
      <c r="D4">
        <f>_xlfn.XLOOKUP($A4,Ronde3!$C:$C,Ronde3!$E:$E,"-")</f>
        <v>10</v>
      </c>
      <c r="E4" s="51">
        <f>_xlfn.XLOOKUP($A4,Ronde4!$C:$C,Ronde4!$E:$E,"-")</f>
        <v>1</v>
      </c>
      <c r="G4">
        <f t="shared" si="0"/>
        <v>24</v>
      </c>
    </row>
    <row r="5" spans="1:7">
      <c r="A5" s="71" t="str">
        <f>AanwezigReserve!D6</f>
        <v>Daniel Bogaert</v>
      </c>
      <c r="B5">
        <f>_xlfn.XLOOKUP(A5,Ronde1!C:C,Ronde1!E:E,"-")</f>
        <v>1</v>
      </c>
      <c r="C5">
        <f>_xlfn.XLOOKUP($A5,Ronde2!$C:$C,Ronde2!$E:$E,"-")</f>
        <v>3</v>
      </c>
      <c r="D5">
        <f>_xlfn.XLOOKUP($A5,Ronde3!$C:$C,Ronde3!$E:$E,"-")</f>
        <v>3</v>
      </c>
      <c r="E5" s="51" t="str">
        <f>_xlfn.XLOOKUP($A5,Ronde4!$C:$C,Ronde4!$E:$E,"-")</f>
        <v>-</v>
      </c>
      <c r="G5">
        <f t="shared" si="0"/>
        <v>7</v>
      </c>
    </row>
    <row r="6" spans="1:7">
      <c r="A6" s="71" t="str">
        <f>AanwezigReserve!D7</f>
        <v>Daniella Vanhalewyn</v>
      </c>
      <c r="B6">
        <f>_xlfn.XLOOKUP(A6,Ronde1!C:C,Ronde1!E:E,"-")</f>
        <v>3</v>
      </c>
      <c r="C6">
        <f>_xlfn.XLOOKUP($A6,Ronde2!$C:$C,Ronde2!$E:$E,"-")</f>
        <v>10</v>
      </c>
      <c r="D6">
        <f>_xlfn.XLOOKUP($A6,Ronde3!$C:$C,Ronde3!$E:$E,"-")</f>
        <v>6</v>
      </c>
      <c r="E6" s="51" t="str">
        <f>_xlfn.XLOOKUP($A6,Ronde4!$C:$C,Ronde4!$E:$E,"-")</f>
        <v>-</v>
      </c>
      <c r="G6">
        <f t="shared" si="0"/>
        <v>19</v>
      </c>
    </row>
    <row r="7" spans="1:7">
      <c r="A7" s="71" t="str">
        <f>AanwezigReserve!D8</f>
        <v>Dirk De Brabander</v>
      </c>
      <c r="B7">
        <f>_xlfn.XLOOKUP(A7,Ronde1!C:C,Ronde1!E:E,"-")</f>
        <v>3</v>
      </c>
      <c r="C7">
        <f>_xlfn.XLOOKUP($A7,Ronde2!$C:$C,Ronde2!$E:$E,"-")</f>
        <v>6</v>
      </c>
      <c r="D7">
        <f>_xlfn.XLOOKUP($A7,Ronde3!$C:$C,Ronde3!$E:$E,"-")</f>
        <v>6</v>
      </c>
      <c r="E7" s="51" t="str">
        <f>_xlfn.XLOOKUP($A7,Ronde4!$C:$C,Ronde4!$E:$E,"-")</f>
        <v>-</v>
      </c>
      <c r="G7">
        <f t="shared" si="0"/>
        <v>15</v>
      </c>
    </row>
    <row r="8" spans="1:7">
      <c r="A8" s="71" t="str">
        <f>AanwezigReserve!D9</f>
        <v>Dirk Desante</v>
      </c>
      <c r="B8">
        <f>_xlfn.XLOOKUP(A8,Ronde1!C:C,Ronde1!E:E,"-")</f>
        <v>3</v>
      </c>
      <c r="C8">
        <f>_xlfn.XLOOKUP($A8,Ronde2!$C:$C,Ronde2!$E:$E,"-")</f>
        <v>10</v>
      </c>
      <c r="D8">
        <f>_xlfn.XLOOKUP($A8,Ronde3!$C:$C,Ronde3!$E:$E,"-")</f>
        <v>6</v>
      </c>
      <c r="E8" s="51" t="str">
        <f>_xlfn.XLOOKUP($A8,Ronde4!$C:$C,Ronde4!$E:$E,"-")</f>
        <v>-</v>
      </c>
      <c r="G8">
        <f t="shared" si="0"/>
        <v>19</v>
      </c>
    </row>
    <row r="9" spans="1:7">
      <c r="A9" s="71" t="str">
        <f>AanwezigReserve!D10</f>
        <v>Etienne Saveyn</v>
      </c>
      <c r="B9">
        <f>_xlfn.XLOOKUP(A9,Ronde1!C:C,Ronde1!E:E,"-")</f>
        <v>10</v>
      </c>
      <c r="C9">
        <f>_xlfn.XLOOKUP($A9,Ronde2!$C:$C,Ronde2!$E:$E,"-")</f>
        <v>10</v>
      </c>
      <c r="D9">
        <f>_xlfn.XLOOKUP($A9,Ronde3!$C:$C,Ronde3!$E:$E,"-")</f>
        <v>10</v>
      </c>
      <c r="E9" s="51" t="str">
        <f>_xlfn.XLOOKUP($A9,Ronde4!$C:$C,Ronde4!$E:$E,"-")</f>
        <v>-</v>
      </c>
      <c r="G9">
        <f t="shared" si="0"/>
        <v>30</v>
      </c>
    </row>
    <row r="10" spans="1:7">
      <c r="A10" s="71" t="str">
        <f>AanwezigReserve!D11</f>
        <v>Filip Dejans</v>
      </c>
      <c r="B10">
        <f>_xlfn.XLOOKUP(A10,Ronde1!C:C,Ronde1!E:E,"-")</f>
        <v>1</v>
      </c>
      <c r="C10">
        <f>_xlfn.XLOOKUP($A10,Ronde2!$C:$C,Ronde2!$E:$E,"-")</f>
        <v>6</v>
      </c>
      <c r="D10">
        <f>_xlfn.XLOOKUP($A10,Ronde3!$C:$C,Ronde3!$E:$E,"-")</f>
        <v>3</v>
      </c>
      <c r="E10" s="51">
        <f>_xlfn.XLOOKUP($A10,Ronde4!$C:$C,Ronde4!$E:$E,"-")</f>
        <v>3</v>
      </c>
      <c r="G10">
        <f t="shared" si="0"/>
        <v>13</v>
      </c>
    </row>
    <row r="11" spans="1:7">
      <c r="A11" s="71" t="str">
        <f>AanwezigReserve!D12</f>
        <v>Francine Thienpont</v>
      </c>
      <c r="B11">
        <f>_xlfn.XLOOKUP(A11,Ronde1!C:C,Ronde1!E:E,"-")</f>
        <v>10</v>
      </c>
      <c r="C11">
        <f>_xlfn.XLOOKUP($A11,Ronde2!$C:$C,Ronde2!$E:$E,"-")</f>
        <v>1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14</v>
      </c>
    </row>
    <row r="12" spans="1:7">
      <c r="A12" s="71" t="str">
        <f>AanwezigReserve!D13</f>
        <v>Frans Catteeuw</v>
      </c>
      <c r="B12">
        <f>_xlfn.XLOOKUP(A12,Ronde1!C:C,Ronde1!E:E,"-")</f>
        <v>3</v>
      </c>
      <c r="C12">
        <f>_xlfn.XLOOKUP($A12,Ronde2!$C:$C,Ronde2!$E:$E,"-")</f>
        <v>3</v>
      </c>
      <c r="D12">
        <f>_xlfn.XLOOKUP($A12,Ronde3!$C:$C,Ronde3!$E:$E,"-")</f>
        <v>1</v>
      </c>
      <c r="E12" s="51" t="str">
        <f>_xlfn.XLOOKUP($A12,Ronde4!$C:$C,Ronde4!$E:$E,"-")</f>
        <v>-</v>
      </c>
      <c r="G12">
        <f t="shared" si="0"/>
        <v>7</v>
      </c>
    </row>
    <row r="13" spans="1:7">
      <c r="A13" s="71" t="str">
        <f>AanwezigReserve!D14</f>
        <v>Freddy Moerman</v>
      </c>
      <c r="B13" t="str">
        <f>_xlfn.XLOOKUP(A13,Ronde1!C:C,Ronde1!E:E,"-")</f>
        <v>-</v>
      </c>
      <c r="C13" t="str">
        <f>_xlfn.XLOOKUP($A13,Ronde2!$C:$C,Ronde2!$E:$E,"-")</f>
        <v>-</v>
      </c>
      <c r="D13" t="str">
        <f>_xlfn.XLOOKUP($A13,Ronde3!$C:$C,Ronde3!$E:$E,"-")</f>
        <v>-</v>
      </c>
      <c r="E13" s="51" t="str">
        <f>_xlfn.XLOOKUP($A13,Ronde4!$C:$C,Ronde4!$E:$E,"-")</f>
        <v>-</v>
      </c>
      <c r="G13">
        <f t="shared" si="0"/>
        <v>0</v>
      </c>
    </row>
    <row r="14" spans="1:7">
      <c r="A14" s="71" t="str">
        <f>AanwezigReserve!D15</f>
        <v>Georges Tollenaere</v>
      </c>
      <c r="B14">
        <f>_xlfn.XLOOKUP(A14,Ronde1!C:C,Ronde1!E:E,"-")</f>
        <v>1</v>
      </c>
      <c r="C14">
        <f>_xlfn.XLOOKUP($A14,Ronde2!$C:$C,Ronde2!$E:$E,"-")</f>
        <v>1</v>
      </c>
      <c r="D14">
        <f>_xlfn.XLOOKUP($A14,Ronde3!$C:$C,Ronde3!$E:$E,"-")</f>
        <v>6</v>
      </c>
      <c r="E14" s="51" t="str">
        <f>_xlfn.XLOOKUP($A14,Ronde4!$C:$C,Ronde4!$E:$E,"-")</f>
        <v>-</v>
      </c>
      <c r="G14">
        <f t="shared" si="0"/>
        <v>8</v>
      </c>
    </row>
    <row r="15" spans="1:7">
      <c r="A15" s="71" t="str">
        <f>AanwezigReserve!D16</f>
        <v>Gina Van Den Bossche</v>
      </c>
      <c r="B15" t="str">
        <f>_xlfn.XLOOKUP(A15,Ronde1!C:C,Ronde1!E:E,"-")</f>
        <v>-</v>
      </c>
      <c r="C15" t="str">
        <f>_xlfn.XLOOKUP($A15,Ronde2!$C:$C,Ronde2!$E:$E,"-")</f>
        <v>-</v>
      </c>
      <c r="D15" t="str">
        <f>_xlfn.XLOOKUP($A15,Ronde3!$C:$C,Ronde3!$E:$E,"-")</f>
        <v>-</v>
      </c>
      <c r="E15" s="51" t="str">
        <f>_xlfn.XLOOKUP($A15,Ronde4!$C:$C,Ronde4!$E:$E,"-")</f>
        <v>-</v>
      </c>
      <c r="G15">
        <f t="shared" si="0"/>
        <v>0</v>
      </c>
    </row>
    <row r="16" spans="1:7">
      <c r="A16" s="71" t="str">
        <f>AanwezigReserve!D17</f>
        <v>Herman Buysse</v>
      </c>
      <c r="B16">
        <f>_xlfn.XLOOKUP(A16,Ronde1!C:C,Ronde1!E:E,"-")</f>
        <v>1</v>
      </c>
      <c r="C16">
        <f>_xlfn.XLOOKUP($A16,Ronde2!$C:$C,Ronde2!$E:$E,"-")</f>
        <v>1</v>
      </c>
      <c r="D16">
        <f>_xlfn.XLOOKUP($A16,Ronde3!$C:$C,Ronde3!$E:$E,"-")</f>
        <v>3</v>
      </c>
      <c r="E16" s="51">
        <f>_xlfn.XLOOKUP($A16,Ronde4!$C:$C,Ronde4!$E:$E,"-")</f>
        <v>10</v>
      </c>
      <c r="G16">
        <f t="shared" si="0"/>
        <v>15</v>
      </c>
    </row>
    <row r="17" spans="1:7">
      <c r="A17" s="71" t="str">
        <f>AanwezigReserve!D18</f>
        <v>Hubert Verplaetse</v>
      </c>
      <c r="B17">
        <f>_xlfn.XLOOKUP(A17,Ronde1!C:C,Ronde1!E:E,"-")</f>
        <v>3</v>
      </c>
      <c r="C17">
        <f>_xlfn.XLOOKUP($A17,Ronde2!$C:$C,Ronde2!$E:$E,"-")</f>
        <v>10</v>
      </c>
      <c r="D17">
        <f>_xlfn.XLOOKUP($A17,Ronde3!$C:$C,Ronde3!$E:$E,"-")</f>
        <v>3</v>
      </c>
      <c r="E17" s="51" t="str">
        <f>_xlfn.XLOOKUP($A17,Ronde4!$C:$C,Ronde4!$E:$E,"-")</f>
        <v>-</v>
      </c>
      <c r="G17">
        <f t="shared" si="0"/>
        <v>16</v>
      </c>
    </row>
    <row r="18" spans="1:7">
      <c r="A18" s="71" t="str">
        <f>AanwezigReserve!D19</f>
        <v>Ivan Scheir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10</v>
      </c>
      <c r="E18" s="51">
        <f>_xlfn.XLOOKUP($A18,Ronde4!$C:$C,Ronde4!$E:$E,"-")</f>
        <v>3</v>
      </c>
      <c r="G18">
        <f t="shared" si="0"/>
        <v>20</v>
      </c>
    </row>
    <row r="19" spans="1:7">
      <c r="A19" s="71" t="str">
        <f>AanwezigReserve!D20</f>
        <v>Jacqueline Geubels</v>
      </c>
      <c r="B19">
        <f>_xlfn.XLOOKUP(A19,Ronde1!C:C,Ronde1!E:E,"-")</f>
        <v>1</v>
      </c>
      <c r="C19">
        <f>_xlfn.XLOOKUP($A19,Ronde2!$C:$C,Ronde2!$E:$E,"-")</f>
        <v>6</v>
      </c>
      <c r="D19">
        <f>_xlfn.XLOOKUP($A19,Ronde3!$C:$C,Ronde3!$E:$E,"-")</f>
        <v>6</v>
      </c>
      <c r="E19" s="51">
        <f>_xlfn.XLOOKUP($A19,Ronde4!$C:$C,Ronde4!$E:$E,"-")</f>
        <v>3</v>
      </c>
      <c r="G19">
        <f t="shared" si="0"/>
        <v>16</v>
      </c>
    </row>
    <row r="20" spans="1:7">
      <c r="A20" s="71" t="str">
        <f>AanwezigReserve!D21</f>
        <v>Jacques De Meester</v>
      </c>
      <c r="B20">
        <f>_xlfn.XLOOKUP(A20,Ronde1!C:C,Ronde1!E:E,"-")</f>
        <v>1</v>
      </c>
      <c r="C20">
        <f>_xlfn.XLOOKUP($A20,Ronde2!$C:$C,Ronde2!$E:$E,"-")</f>
        <v>10</v>
      </c>
      <c r="D20">
        <f>_xlfn.XLOOKUP($A20,Ronde3!$C:$C,Ronde3!$E:$E,"-")</f>
        <v>1</v>
      </c>
      <c r="E20" s="51">
        <f>_xlfn.XLOOKUP($A20,Ronde4!$C:$C,Ronde4!$E:$E,"-")</f>
        <v>6</v>
      </c>
      <c r="G20">
        <f t="shared" si="0"/>
        <v>18</v>
      </c>
    </row>
    <row r="21" spans="1:7">
      <c r="A21" s="71" t="str">
        <f>AanwezigReserve!D22</f>
        <v>JeanM. Van Veirdeghem</v>
      </c>
      <c r="B21">
        <f>_xlfn.XLOOKUP(A21,Ronde1!C:C,Ronde1!E:E,"-")</f>
        <v>6</v>
      </c>
      <c r="C21">
        <f>_xlfn.XLOOKUP($A21,Ronde2!$C:$C,Ronde2!$E:$E,"-")</f>
        <v>10</v>
      </c>
      <c r="D21">
        <f>_xlfn.XLOOKUP($A21,Ronde3!$C:$C,Ronde3!$E:$E,"-")</f>
        <v>10</v>
      </c>
      <c r="E21" s="51">
        <f>_xlfn.XLOOKUP($A21,Ronde4!$C:$C,Ronde4!$E:$E,"-")</f>
        <v>10</v>
      </c>
      <c r="G21">
        <f t="shared" si="0"/>
        <v>36</v>
      </c>
    </row>
    <row r="22" spans="1:7">
      <c r="A22" s="71" t="str">
        <f>AanwezigReserve!D23</f>
        <v>Johan Saey</v>
      </c>
      <c r="B22">
        <f>_xlfn.XLOOKUP(A22,Ronde1!C:C,Ronde1!E:E,"-")</f>
        <v>3</v>
      </c>
      <c r="C22">
        <f>_xlfn.XLOOKUP($A22,Ronde2!$C:$C,Ronde2!$E:$E,"-")</f>
        <v>3</v>
      </c>
      <c r="D22">
        <f>_xlfn.XLOOKUP($A22,Ronde3!$C:$C,Ronde3!$E:$E,"-")</f>
        <v>6</v>
      </c>
      <c r="E22" s="51">
        <f>_xlfn.XLOOKUP($A22,Ronde4!$C:$C,Ronde4!$E:$E,"-")</f>
        <v>1</v>
      </c>
      <c r="G22">
        <f t="shared" si="0"/>
        <v>13</v>
      </c>
    </row>
    <row r="23" spans="1:7">
      <c r="A23" s="71" t="str">
        <f>AanwezigReserve!D24</f>
        <v>Jozef Van Landeghem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6</v>
      </c>
      <c r="E23" s="51">
        <f>_xlfn.XLOOKUP($A23,Ronde4!$C:$C,Ronde4!$E:$E,"-")</f>
        <v>10</v>
      </c>
      <c r="G23">
        <f t="shared" si="0"/>
        <v>23</v>
      </c>
    </row>
    <row r="24" spans="1:7">
      <c r="A24" s="71" t="str">
        <f>AanwezigReserve!D25</f>
        <v>Julien Herrebaut</v>
      </c>
      <c r="B24">
        <f>_xlfn.XLOOKUP(A24,Ronde1!C:C,Ronde1!E:E,"-")</f>
        <v>6</v>
      </c>
      <c r="C24">
        <f>_xlfn.XLOOKUP($A24,Ronde2!$C:$C,Ronde2!$E:$E,"-")</f>
        <v>1</v>
      </c>
      <c r="D24">
        <f>_xlfn.XLOOKUP($A24,Ronde3!$C:$C,Ronde3!$E:$E,"-")</f>
        <v>1</v>
      </c>
      <c r="E24" s="51">
        <f>_xlfn.XLOOKUP($A24,Ronde4!$C:$C,Ronde4!$E:$E,"-")</f>
        <v>10</v>
      </c>
      <c r="G24">
        <f t="shared" si="0"/>
        <v>18</v>
      </c>
    </row>
    <row r="25" spans="1:7">
      <c r="A25" s="71" t="str">
        <f>AanwezigReserve!D26</f>
        <v>Lucien Van Peteghem</v>
      </c>
      <c r="B25">
        <f>_xlfn.XLOOKUP(A25,Ronde1!C:C,Ronde1!E:E,"-")</f>
        <v>10</v>
      </c>
      <c r="C25">
        <f>_xlfn.XLOOKUP($A25,Ronde2!$C:$C,Ronde2!$E:$E,"-")</f>
        <v>1</v>
      </c>
      <c r="D25">
        <f>_xlfn.XLOOKUP($A25,Ronde3!$C:$C,Ronde3!$E:$E,"-")</f>
        <v>10</v>
      </c>
      <c r="E25" s="51">
        <f>_xlfn.XLOOKUP($A25,Ronde4!$C:$C,Ronde4!$E:$E,"-")</f>
        <v>6</v>
      </c>
      <c r="G25">
        <f t="shared" si="0"/>
        <v>27</v>
      </c>
    </row>
    <row r="26" spans="1:7">
      <c r="A26" s="71" t="str">
        <f>AanwezigReserve!D27</f>
        <v>Lutgarde Vanderhaegen</v>
      </c>
      <c r="B26">
        <f>_xlfn.XLOOKUP(A26,Ronde1!C:C,Ronde1!E:E,"-")</f>
        <v>10</v>
      </c>
      <c r="C26">
        <f>_xlfn.XLOOKUP($A26,Ronde2!$C:$C,Ronde2!$E:$E,"-")</f>
        <v>3</v>
      </c>
      <c r="D26">
        <f>_xlfn.XLOOKUP($A26,Ronde3!$C:$C,Ronde3!$E:$E,"-")</f>
        <v>3</v>
      </c>
      <c r="E26" s="51" t="str">
        <f>_xlfn.XLOOKUP($A26,Ronde4!$C:$C,Ronde4!$E:$E,"-")</f>
        <v>-</v>
      </c>
      <c r="G26">
        <f t="shared" si="0"/>
        <v>16</v>
      </c>
    </row>
    <row r="27" spans="1:7">
      <c r="A27" s="71" t="str">
        <f>AanwezigReserve!D28</f>
        <v>Lydie Ysveld</v>
      </c>
      <c r="B27" t="str">
        <f>_xlfn.XLOOKUP(A27,Ronde1!C:C,Ronde1!E:E,"-")</f>
        <v>-</v>
      </c>
      <c r="C27" t="str">
        <f>_xlfn.XLOOKUP($A27,Ronde2!$C:$C,Ronde2!$E:$E,"-")</f>
        <v>-</v>
      </c>
      <c r="D27" t="str">
        <f>_xlfn.XLOOKUP($A27,Ronde3!$C:$C,Ronde3!$E:$E,"-")</f>
        <v>-</v>
      </c>
      <c r="E27" s="51" t="str">
        <f>_xlfn.XLOOKUP($A27,Ronde4!$C:$C,Ronde4!$E:$E,"-")</f>
        <v>-</v>
      </c>
      <c r="G27">
        <f t="shared" si="0"/>
        <v>0</v>
      </c>
    </row>
    <row r="28" spans="1:7">
      <c r="A28" s="71" t="str">
        <f>AanwezigReserve!D29</f>
        <v>Marc Ediers</v>
      </c>
      <c r="B28" t="str">
        <f>_xlfn.XLOOKUP(A28,Ronde1!C:C,Ronde1!E:E,"-")</f>
        <v>-</v>
      </c>
      <c r="C28" t="str">
        <f>_xlfn.XLOOKUP($A28,Ronde2!$C:$C,Ronde2!$E:$E,"-")</f>
        <v>-</v>
      </c>
      <c r="D28" t="str">
        <f>_xlfn.XLOOKUP($A28,Ronde3!$C:$C,Ronde3!$E:$E,"-")</f>
        <v>-</v>
      </c>
      <c r="E28" s="51" t="str">
        <f>_xlfn.XLOOKUP($A28,Ronde4!$C:$C,Ronde4!$E:$E,"-")</f>
        <v>-</v>
      </c>
      <c r="G28">
        <f t="shared" si="0"/>
        <v>0</v>
      </c>
    </row>
    <row r="29" spans="1:7">
      <c r="A29" s="71" t="str">
        <f>AanwezigReserve!D30</f>
        <v>Marguerite Van Hende</v>
      </c>
      <c r="B29">
        <f>_xlfn.XLOOKUP(A29,Ronde1!C:C,Ronde1!E:E,"-")</f>
        <v>6</v>
      </c>
      <c r="C29">
        <f>_xlfn.XLOOKUP($A29,Ronde2!$C:$C,Ronde2!$E:$E,"-")</f>
        <v>6</v>
      </c>
      <c r="D29">
        <f>_xlfn.XLOOKUP($A29,Ronde3!$C:$C,Ronde3!$E:$E,"-")</f>
        <v>1</v>
      </c>
      <c r="E29" s="51" t="str">
        <f>_xlfn.XLOOKUP($A29,Ronde4!$C:$C,Ronde4!$E:$E,"-")</f>
        <v>-</v>
      </c>
      <c r="G29">
        <f t="shared" si="0"/>
        <v>13</v>
      </c>
    </row>
    <row r="30" spans="1:7">
      <c r="A30" s="71" t="str">
        <f>AanwezigReserve!D31</f>
        <v>Marleen Denert</v>
      </c>
      <c r="B30">
        <f>_xlfn.XLOOKUP(A30,Ronde1!C:C,Ronde1!E:E,"-")</f>
        <v>10</v>
      </c>
      <c r="C30">
        <f>_xlfn.XLOOKUP($A30,Ronde2!$C:$C,Ronde2!$E:$E,"-")</f>
        <v>6</v>
      </c>
      <c r="D30">
        <f>_xlfn.XLOOKUP($A30,Ronde3!$C:$C,Ronde3!$E:$E,"-")</f>
        <v>3</v>
      </c>
      <c r="E30" s="51">
        <f>_xlfn.XLOOKUP($A30,Ronde4!$C:$C,Ronde4!$E:$E,"-")</f>
        <v>1</v>
      </c>
      <c r="G30">
        <f t="shared" si="0"/>
        <v>20</v>
      </c>
    </row>
    <row r="31" spans="1:7">
      <c r="A31" s="71" t="str">
        <f>AanwezigReserve!D32</f>
        <v>Michel Van Laere</v>
      </c>
      <c r="B31">
        <f>_xlfn.XLOOKUP(A31,Ronde1!C:C,Ronde1!E:E,"-")</f>
        <v>6</v>
      </c>
      <c r="C31">
        <f>_xlfn.XLOOKUP($A31,Ronde2!$C:$C,Ronde2!$E:$E,"-")</f>
        <v>3</v>
      </c>
      <c r="D31">
        <f>_xlfn.XLOOKUP($A31,Ronde3!$C:$C,Ronde3!$E:$E,"-")</f>
        <v>3</v>
      </c>
      <c r="E31" s="51">
        <f>_xlfn.XLOOKUP($A31,Ronde4!$C:$C,Ronde4!$E:$E,"-")</f>
        <v>6</v>
      </c>
      <c r="G31">
        <f t="shared" si="0"/>
        <v>18</v>
      </c>
    </row>
    <row r="32" spans="1:7">
      <c r="A32" s="71" t="str">
        <f>AanwezigReserve!D33</f>
        <v>Nestor Meirte</v>
      </c>
      <c r="B32">
        <f>_xlfn.XLOOKUP(A32,Ronde1!C:C,Ronde1!E:E,"-")</f>
        <v>10</v>
      </c>
      <c r="C32">
        <f>_xlfn.XLOOKUP($A32,Ronde2!$C:$C,Ronde2!$E:$E,"-")</f>
        <v>1</v>
      </c>
      <c r="D32">
        <f>_xlfn.XLOOKUP($A32,Ronde3!$C:$C,Ronde3!$E:$E,"-")</f>
        <v>1</v>
      </c>
      <c r="E32" s="51" t="str">
        <f>_xlfn.XLOOKUP($A32,Ronde4!$C:$C,Ronde4!$E:$E,"-")</f>
        <v>-</v>
      </c>
      <c r="G32">
        <f t="shared" si="0"/>
        <v>12</v>
      </c>
    </row>
    <row r="33" spans="1:7">
      <c r="A33" s="71" t="str">
        <f>AanwezigReserve!D34</f>
        <v>Patrick Geys</v>
      </c>
      <c r="B33">
        <f>_xlfn.XLOOKUP(A33,Ronde1!C:C,Ronde1!E:E,"-")</f>
        <v>10</v>
      </c>
      <c r="C33">
        <f>_xlfn.XLOOKUP($A33,Ronde2!$C:$C,Ronde2!$E:$E,"-")</f>
        <v>6</v>
      </c>
      <c r="D33">
        <f>_xlfn.XLOOKUP($A33,Ronde3!$C:$C,Ronde3!$E:$E,"-")</f>
        <v>10</v>
      </c>
      <c r="E33" s="51">
        <f>_xlfn.XLOOKUP($A33,Ronde4!$C:$C,Ronde4!$E:$E,"-")</f>
        <v>1</v>
      </c>
      <c r="G33">
        <f t="shared" si="0"/>
        <v>27</v>
      </c>
    </row>
    <row r="34" spans="1:7">
      <c r="A34" s="71" t="str">
        <f>AanwezigReserve!D35</f>
        <v>Philippe Vergote</v>
      </c>
      <c r="B34" t="str">
        <f>_xlfn.XLOOKUP(A34,Ronde1!C:C,Ronde1!E:E,"-")</f>
        <v>-</v>
      </c>
      <c r="C34" t="str">
        <f>_xlfn.XLOOKUP($A34,Ronde2!$C:$C,Ronde2!$E:$E,"-")</f>
        <v>-</v>
      </c>
      <c r="D34" t="str">
        <f>_xlfn.XLOOKUP($A34,Ronde3!$C:$C,Ronde3!$E:$E,"-")</f>
        <v>-</v>
      </c>
      <c r="E34" s="51" t="str">
        <f>_xlfn.XLOOKUP($A34,Ronde4!$C:$C,Ronde4!$E:$E,"-")</f>
        <v>-</v>
      </c>
      <c r="G34">
        <f t="shared" si="0"/>
        <v>0</v>
      </c>
    </row>
    <row r="35" spans="1:7">
      <c r="A35" s="71" t="str">
        <f>AanwezigReserve!D36</f>
        <v>Pol Callebert</v>
      </c>
      <c r="B35">
        <f>_xlfn.XLOOKUP(A35,Ronde1!C:C,Ronde1!E:E,"-")</f>
        <v>1</v>
      </c>
      <c r="C35">
        <f>_xlfn.XLOOKUP($A35,Ronde2!$C:$C,Ronde2!$E:$E,"-")</f>
        <v>6</v>
      </c>
      <c r="D35">
        <f>_xlfn.XLOOKUP($A35,Ronde3!$C:$C,Ronde3!$E:$E,"-")</f>
        <v>1</v>
      </c>
      <c r="E35" s="51" t="str">
        <f>_xlfn.XLOOKUP($A35,Ronde4!$C:$C,Ronde4!$E:$E,"-")</f>
        <v>-</v>
      </c>
      <c r="G35">
        <f t="shared" si="0"/>
        <v>8</v>
      </c>
    </row>
    <row r="36" spans="1:7">
      <c r="A36" s="71" t="str">
        <f>AanwezigReserve!D37</f>
        <v>Regina De Pauw</v>
      </c>
      <c r="B36">
        <f>_xlfn.XLOOKUP(A36,Ronde1!C:C,Ronde1!E:E,"-")</f>
        <v>6</v>
      </c>
      <c r="C36">
        <f>_xlfn.XLOOKUP($A36,Ronde2!$C:$C,Ronde2!$E:$E,"-")</f>
        <v>1</v>
      </c>
      <c r="D36">
        <f>_xlfn.XLOOKUP($A36,Ronde3!$C:$C,Ronde3!$E:$E,"-")</f>
        <v>1</v>
      </c>
      <c r="E36" s="51">
        <f>_xlfn.XLOOKUP($A36,Ronde4!$C:$C,Ronde4!$E:$E,"-")</f>
        <v>3</v>
      </c>
      <c r="G36">
        <f t="shared" si="0"/>
        <v>11</v>
      </c>
    </row>
    <row r="37" spans="1:7">
      <c r="A37" s="71" t="str">
        <f>AanwezigReserve!D38</f>
        <v>Rik Malfliet</v>
      </c>
      <c r="B37" t="str">
        <f>_xlfn.XLOOKUP(A37,Ronde1!C:C,Ronde1!E:E,"-")</f>
        <v>-</v>
      </c>
      <c r="C37" t="str">
        <f>_xlfn.XLOOKUP($A37,Ronde2!$C:$C,Ronde2!$E:$E,"-")</f>
        <v>-</v>
      </c>
      <c r="D37" t="str">
        <f>_xlfn.XLOOKUP($A37,Ronde3!$C:$C,Ronde3!$E:$E,"-")</f>
        <v>-</v>
      </c>
      <c r="E37" s="51" t="str">
        <f>_xlfn.XLOOKUP($A37,Ronde4!$C:$C,Ronde4!$E:$E,"-")</f>
        <v>-</v>
      </c>
      <c r="G37">
        <f t="shared" si="0"/>
        <v>0</v>
      </c>
    </row>
    <row r="38" spans="1:7">
      <c r="A38" s="71" t="str">
        <f>AanwezigReserve!D39</f>
        <v>Rita Van Helleputte</v>
      </c>
      <c r="B38">
        <f>_xlfn.XLOOKUP(A38,Ronde1!C:C,Ronde1!E:E,"-")</f>
        <v>1</v>
      </c>
      <c r="C38">
        <f>_xlfn.XLOOKUP($A38,Ronde2!$C:$C,Ronde2!$E:$E,"-")</f>
        <v>3</v>
      </c>
      <c r="D38">
        <f>_xlfn.XLOOKUP($A38,Ronde3!$C:$C,Ronde3!$E:$E,"-")</f>
        <v>10</v>
      </c>
      <c r="E38" s="51" t="str">
        <f>_xlfn.XLOOKUP($A38,Ronde4!$C:$C,Ronde4!$E:$E,"-")</f>
        <v>-</v>
      </c>
      <c r="G38">
        <f t="shared" si="0"/>
        <v>14</v>
      </c>
    </row>
    <row r="39" spans="1:7">
      <c r="A39" s="71" t="str">
        <f>AanwezigReserve!D40</f>
        <v>Roger Schietse</v>
      </c>
      <c r="B39" t="str">
        <f>_xlfn.XLOOKUP(A39,Ronde1!C:C,Ronde1!E:E,"-")</f>
        <v>-</v>
      </c>
      <c r="C39" t="str">
        <f>_xlfn.XLOOKUP($A39,Ronde2!$C:$C,Ronde2!$E:$E,"-")</f>
        <v>-</v>
      </c>
      <c r="D39" t="str">
        <f>_xlfn.XLOOKUP($A39,Ronde3!$C:$C,Ronde3!$E:$E,"-")</f>
        <v>-</v>
      </c>
      <c r="E39" s="51" t="str">
        <f>_xlfn.XLOOKUP($A39,Ronde4!$C:$C,Ronde4!$E:$E,"-")</f>
        <v>-</v>
      </c>
      <c r="G39">
        <f t="shared" si="0"/>
        <v>0</v>
      </c>
    </row>
    <row r="40" spans="1:7">
      <c r="A40" s="71" t="str">
        <f>AanwezigReserve!D41</f>
        <v>Roger Van Peteghem</v>
      </c>
      <c r="B40">
        <f>_xlfn.XLOOKUP(A40,Ronde1!C:C,Ronde1!E:E,"-")</f>
        <v>3</v>
      </c>
      <c r="C40">
        <f>_xlfn.XLOOKUP($A40,Ronde2!$C:$C,Ronde2!$E:$E,"-")</f>
        <v>1</v>
      </c>
      <c r="D40">
        <f>_xlfn.XLOOKUP($A40,Ronde3!$C:$C,Ronde3!$E:$E,"-")</f>
        <v>10</v>
      </c>
      <c r="E40" s="51" t="str">
        <f>_xlfn.XLOOKUP($A40,Ronde4!$C:$C,Ronde4!$E:$E,"-")</f>
        <v>-</v>
      </c>
      <c r="G40">
        <f t="shared" si="0"/>
        <v>14</v>
      </c>
    </row>
    <row r="41" spans="1:7">
      <c r="A41" s="71" t="str">
        <f>AanwezigReserve!D42</f>
        <v>Rosane Biasino</v>
      </c>
      <c r="B41">
        <f>_xlfn.XLOOKUP(A41,Ronde1!C:C,Ronde1!E:E,"-")</f>
        <v>6</v>
      </c>
      <c r="C41">
        <f>_xlfn.XLOOKUP($A41,Ronde2!$C:$C,Ronde2!$E:$E,"-")</f>
        <v>1</v>
      </c>
      <c r="D41">
        <f>_xlfn.XLOOKUP($A41,Ronde3!$C:$C,Ronde3!$E:$E,"-")</f>
        <v>6</v>
      </c>
      <c r="E41" s="51">
        <f>_xlfn.XLOOKUP($A41,Ronde4!$C:$C,Ronde4!$E:$E,"-")</f>
        <v>1</v>
      </c>
      <c r="G41">
        <f t="shared" si="0"/>
        <v>14</v>
      </c>
    </row>
    <row r="42" spans="1:7">
      <c r="A42" s="71" t="str">
        <f>AanwezigReserve!D43</f>
        <v>Simonne Pauwels</v>
      </c>
      <c r="B42">
        <f>_xlfn.XLOOKUP(A42,Ronde1!C:C,Ronde1!E:E,"-")</f>
        <v>3</v>
      </c>
      <c r="C42">
        <f>_xlfn.XLOOKUP($A42,Ronde2!$C:$C,Ronde2!$E:$E,"-")</f>
        <v>10</v>
      </c>
      <c r="D42">
        <f>_xlfn.XLOOKUP($A42,Ronde3!$C:$C,Ronde3!$E:$E,"-")</f>
        <v>1</v>
      </c>
      <c r="E42" s="51" t="str">
        <f>_xlfn.XLOOKUP($A42,Ronde4!$C:$C,Ronde4!$E:$E,"-")</f>
        <v>-</v>
      </c>
      <c r="G42">
        <f t="shared" si="0"/>
        <v>14</v>
      </c>
    </row>
    <row r="43" spans="1:7">
      <c r="A43" s="71" t="str">
        <f>AanwezigReserve!D44</f>
        <v>Stan Astaes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3</v>
      </c>
      <c r="E43" s="51" t="str">
        <f>_xlfn.XLOOKUP($A43,Ronde4!$C:$C,Ronde4!$E:$E,"-")</f>
        <v>-</v>
      </c>
      <c r="G43">
        <f t="shared" si="0"/>
        <v>9</v>
      </c>
    </row>
    <row r="44" spans="1:7">
      <c r="A44" s="71" t="str">
        <f>AanwezigReserve!D45</f>
        <v>Suzanne Muijters</v>
      </c>
      <c r="B44">
        <f>_xlfn.XLOOKUP(A44,Ronde1!C:C,Ronde1!E:E,"-")</f>
        <v>3</v>
      </c>
      <c r="C44">
        <f>_xlfn.XLOOKUP($A44,Ronde2!$C:$C,Ronde2!$E:$E,"-")</f>
        <v>6</v>
      </c>
      <c r="D44">
        <f>_xlfn.XLOOKUP($A44,Ronde3!$C:$C,Ronde3!$E:$E,"-")</f>
        <v>10</v>
      </c>
      <c r="E44" s="51" t="str">
        <f>_xlfn.XLOOKUP($A44,Ronde4!$C:$C,Ronde4!$E:$E,"-")</f>
        <v>-</v>
      </c>
      <c r="G44">
        <f t="shared" si="0"/>
        <v>19</v>
      </c>
    </row>
    <row r="45" spans="1:7">
      <c r="A45" s="71" t="str">
        <f>AanwezigReserve!D46</f>
        <v>Tony Criel</v>
      </c>
      <c r="B45">
        <f>_xlfn.XLOOKUP(A45,Ronde1!C:C,Ronde1!E:E,"-")</f>
        <v>6</v>
      </c>
      <c r="C45">
        <f>_xlfn.XLOOKUP($A45,Ronde2!$C:$C,Ronde2!$E:$E,"-")</f>
        <v>6</v>
      </c>
      <c r="D45">
        <f>_xlfn.XLOOKUP($A45,Ronde3!$C:$C,Ronde3!$E:$E,"-")</f>
        <v>6</v>
      </c>
      <c r="E45" s="51">
        <f>_xlfn.XLOOKUP($A45,Ronde4!$C:$C,Ronde4!$E:$E,"-")</f>
        <v>10</v>
      </c>
      <c r="G45">
        <f t="shared" si="0"/>
        <v>28</v>
      </c>
    </row>
    <row r="46" spans="1:7">
      <c r="A46" s="71" t="str">
        <f>AanwezigReserve!D47</f>
        <v>Walter Saveyn</v>
      </c>
      <c r="B46">
        <f>_xlfn.XLOOKUP(A46,Ronde1!C:C,Ronde1!E:E,"-")</f>
        <v>6</v>
      </c>
      <c r="C46">
        <f>_xlfn.XLOOKUP($A46,Ronde2!$C:$C,Ronde2!$E:$E,"-")</f>
        <v>6</v>
      </c>
      <c r="D46">
        <f>_xlfn.XLOOKUP($A46,Ronde3!$C:$C,Ronde3!$E:$E,"-")</f>
        <v>3</v>
      </c>
      <c r="E46" s="51">
        <f>_xlfn.XLOOKUP($A46,Ronde4!$C:$C,Ronde4!$E:$E,"-")</f>
        <v>6</v>
      </c>
      <c r="G46">
        <f t="shared" si="0"/>
        <v>21</v>
      </c>
    </row>
    <row r="47" spans="1:7">
      <c r="A47" s="71" t="str">
        <f>AanwezigReserve!D48</f>
        <v>Willy Duwyn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10</v>
      </c>
      <c r="E47" s="51" t="str">
        <f>_xlfn.XLOOKUP($A47,Ronde4!$C:$C,Ronde4!$E:$E,"-")</f>
        <v>-</v>
      </c>
      <c r="G47">
        <f t="shared" si="0"/>
        <v>17</v>
      </c>
    </row>
    <row r="48" spans="1:7">
      <c r="A48" s="71" t="str">
        <f>AanwezigReserve!D51</f>
        <v xml:space="preserve"> 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1" t="str">
        <f>AanwezigReserve!D52</f>
        <v xml:space="preserve"> </v>
      </c>
      <c r="B49" t="str">
        <f>_xlfn.XLOOKUP(A49,Ronde1!C:C,Ronde1!E:E,"-")</f>
        <v>-</v>
      </c>
      <c r="C49" t="str">
        <f>_xlfn.XLOOKUP($A49,Ronde2!$C:$C,Ronde2!$E:$E,"-")</f>
        <v>-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0</v>
      </c>
    </row>
    <row r="50" spans="1:7">
      <c r="A50" s="71">
        <f>AanwezigReserve!D53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1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1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1">
        <f>AanwezigReserve!D54</f>
        <v>0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1">
        <f>AanwezigReserve!D55</f>
        <v>0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1">
        <f>AanwezigReserve!D56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1">
        <f>AanwezigReserve!D57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5"/>
      <c r="B57" s="76"/>
      <c r="C57" s="76"/>
      <c r="D57" s="76"/>
      <c r="E57" s="77"/>
      <c r="G57">
        <f t="shared" si="0"/>
        <v>0</v>
      </c>
    </row>
    <row r="58" spans="1:7">
      <c r="A58" s="7" t="s">
        <v>131</v>
      </c>
      <c r="B58">
        <f>COUNT(B2:B55)</f>
        <v>39</v>
      </c>
      <c r="C58">
        <f>COUNT(C2:C55)</f>
        <v>39</v>
      </c>
      <c r="D58">
        <f>COUNT(D2:D55)</f>
        <v>39</v>
      </c>
      <c r="E58">
        <f>COUNT(E2:E55)</f>
        <v>20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55"/>
  <sheetViews>
    <sheetView zoomScaleNormal="100" workbookViewId="0">
      <selection activeCell="A24" sqref="A24:XFD24"/>
    </sheetView>
  </sheetViews>
  <sheetFormatPr defaultColWidth="8.85546875" defaultRowHeight="12.75"/>
  <cols>
    <col min="1" max="1" width="23.140625" style="198" bestFit="1" customWidth="1"/>
    <col min="2" max="2" width="4.42578125" style="198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98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98" t="s">
        <v>143</v>
      </c>
      <c r="B1" s="198" t="s">
        <v>132</v>
      </c>
      <c r="C1" s="23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5</v>
      </c>
      <c r="G1" s="87" t="s">
        <v>132</v>
      </c>
      <c r="H1" s="87" t="s">
        <v>132</v>
      </c>
      <c r="I1" s="87" t="s">
        <v>132</v>
      </c>
      <c r="J1" s="87" t="s">
        <v>132</v>
      </c>
      <c r="K1" s="87" t="s">
        <v>132</v>
      </c>
      <c r="L1" s="87" t="s">
        <v>132</v>
      </c>
      <c r="M1" s="87" t="s">
        <v>132</v>
      </c>
      <c r="N1" s="87" t="s">
        <v>132</v>
      </c>
      <c r="O1" s="87" t="s">
        <v>132</v>
      </c>
      <c r="P1" s="309" t="s">
        <v>121</v>
      </c>
      <c r="Q1" s="310"/>
      <c r="R1" s="310"/>
      <c r="S1" s="310"/>
      <c r="T1" s="310"/>
      <c r="U1" s="311"/>
    </row>
    <row r="2" spans="1:23" s="198" customFormat="1">
      <c r="A2">
        <f ca="1">MONTH(Loting!H8)</f>
        <v>11</v>
      </c>
      <c r="B2" s="198" t="s">
        <v>7</v>
      </c>
      <c r="C2" s="198" t="s">
        <v>55</v>
      </c>
      <c r="D2" s="198" t="s">
        <v>77</v>
      </c>
      <c r="E2" s="198" t="s">
        <v>78</v>
      </c>
      <c r="F2" s="198" t="s">
        <v>79</v>
      </c>
      <c r="G2" s="198" t="s">
        <v>115</v>
      </c>
      <c r="P2" s="198" t="s">
        <v>116</v>
      </c>
      <c r="Q2" s="198" t="s">
        <v>117</v>
      </c>
      <c r="R2" s="198" t="s">
        <v>118</v>
      </c>
      <c r="S2" s="198" t="s">
        <v>119</v>
      </c>
      <c r="U2" s="198" t="s">
        <v>120</v>
      </c>
      <c r="W2" s="198" t="s">
        <v>120</v>
      </c>
    </row>
    <row r="3" spans="1:23">
      <c r="A3" s="198" t="str">
        <f>AanwezigReserve!D3</f>
        <v>Brigitte Raeymaekers</v>
      </c>
      <c r="B3" s="198">
        <f>VLOOKUP(A3,AanwezigReserve!D:F,3,0)</f>
        <v>4</v>
      </c>
      <c r="C3" s="20">
        <f>IFERROR(VLOOKUP($A3,Ronde1!$C$1:E$100,3,0),"")</f>
        <v>6</v>
      </c>
      <c r="D3" s="20">
        <f>IFERROR(VLOOKUP($A3,Ronde2!$C$1:$E$100,3,0),"")</f>
        <v>10</v>
      </c>
      <c r="E3" s="20">
        <f>IFERROR(VLOOKUP($A3,Ronde3!$C$1:$E$100,3,0),"")</f>
        <v>3</v>
      </c>
      <c r="F3" s="20">
        <f>IFERROR(VLOOKUP($A3,Ronde4!$C$1:$E$100,3,0),"")</f>
        <v>6</v>
      </c>
      <c r="G3" s="20">
        <f>COUNT(C3:E3)</f>
        <v>3</v>
      </c>
      <c r="N3" s="198"/>
      <c r="P3" s="20">
        <f>IFERROR(VLOOKUP($A3,Ronde1!$C$1:Q$100,4,0),"")</f>
        <v>0</v>
      </c>
      <c r="Q3" s="20">
        <f>IFERROR(VLOOKUP($A3,Ronde2!$C$1:R$100,4,0),"")</f>
        <v>0</v>
      </c>
      <c r="R3" s="20">
        <f>IFERROR(VLOOKUP($A3,Ronde3!$C$1:S$100,4,0),"")</f>
        <v>1</v>
      </c>
      <c r="S3" s="20">
        <f>IFERROR(VLOOKUP($A3,Ronde4!$C$1:S$100,4,0),"")</f>
        <v>0</v>
      </c>
      <c r="U3" s="20">
        <f>SUM($P3:$S3)</f>
        <v>1</v>
      </c>
      <c r="W3" s="20">
        <v>2</v>
      </c>
    </row>
    <row r="4" spans="1:23">
      <c r="A4" s="198" t="str">
        <f>AanwezigReserve!D4</f>
        <v>Chris Cuppens</v>
      </c>
      <c r="B4" s="198">
        <f>VLOOKUP(A4,AanwezigReserve!D:F,3,0)</f>
        <v>4</v>
      </c>
      <c r="C4" s="20">
        <f>IFERROR(VLOOKUP($A4,Ronde1!$C$1:E$100,3,0),"")</f>
        <v>10</v>
      </c>
      <c r="D4" s="87">
        <f>IFERROR(VLOOKUP($A4,Ronde2!$C$1:$E$100,3,0),"")</f>
        <v>10</v>
      </c>
      <c r="E4" s="20">
        <f>IFERROR(VLOOKUP($A4,Ronde3!$C$1:$E$100,3,0),"")</f>
        <v>3</v>
      </c>
      <c r="F4" s="20">
        <f>IFERROR(VLOOKUP($A4,Ronde4!$C$1:$E$100,3,0),"")</f>
        <v>10</v>
      </c>
      <c r="G4" s="20">
        <f t="shared" ref="G4:G53" si="0">COUNT(C4:F4)</f>
        <v>4</v>
      </c>
      <c r="H4" s="87"/>
      <c r="N4" s="198"/>
      <c r="P4" s="20">
        <f>IFERROR(VLOOKUP($A4,Ronde1!$C$1:Q$100,4,0),"")</f>
        <v>0</v>
      </c>
      <c r="Q4" s="20">
        <f>IFERROR(VLOOKUP($A4,Ronde2!$C$1:R$100,4,0),"")</f>
        <v>3</v>
      </c>
      <c r="R4" s="20">
        <f>IFERROR(VLOOKUP($A4,Ronde3!$C$1:S$100,4,0),"")</f>
        <v>0</v>
      </c>
      <c r="S4" s="20">
        <f>IFERROR(VLOOKUP($A4,Ronde4!$C$1:S$100,4,0),"")</f>
        <v>0</v>
      </c>
      <c r="U4" s="20">
        <f t="shared" ref="U4:U54" si="1">SUM($P4:$S4)</f>
        <v>3</v>
      </c>
      <c r="W4" s="20">
        <v>3</v>
      </c>
    </row>
    <row r="5" spans="1:23">
      <c r="A5" s="198" t="str">
        <f>AanwezigReserve!D5</f>
        <v>Christiane De Maesschalck</v>
      </c>
      <c r="B5" s="198">
        <f>VLOOKUP(A5,AanwezigReserve!D:F,3,0)</f>
        <v>4</v>
      </c>
      <c r="C5" s="20">
        <f>IFERROR(VLOOKUP($A5,Ronde1!$C$1:E$100,3,0),"")</f>
        <v>10</v>
      </c>
      <c r="D5" s="87">
        <f>IFERROR(VLOOKUP($A5,Ronde2!$C$1:$E$100,3,0),"")</f>
        <v>3</v>
      </c>
      <c r="E5" s="20">
        <f>IFERROR(VLOOKUP($A5,Ronde3!$C$1:$E$100,3,0),"")</f>
        <v>10</v>
      </c>
      <c r="F5" s="20">
        <f>IFERROR(VLOOKUP($A5,Ronde4!$C$1:$E$100,3,0),"")</f>
        <v>1</v>
      </c>
      <c r="G5" s="20">
        <f t="shared" si="0"/>
        <v>4</v>
      </c>
      <c r="H5" s="87"/>
      <c r="N5" s="198"/>
      <c r="P5" s="20">
        <f>IFERROR(VLOOKUP($A5,Ronde1!$C$1:Q$100,4,0),"")</f>
        <v>1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1</v>
      </c>
      <c r="U5" s="20">
        <f t="shared" si="1"/>
        <v>2</v>
      </c>
      <c r="W5" s="20">
        <v>2</v>
      </c>
    </row>
    <row r="6" spans="1:23">
      <c r="A6" s="198" t="str">
        <f>AanwezigReserve!D6</f>
        <v>Daniel Bogaert</v>
      </c>
      <c r="B6" s="198">
        <f>VLOOKUP(A6,AanwezigReserve!D:F,3,0)</f>
        <v>3</v>
      </c>
      <c r="C6" s="20">
        <f>IFERROR(VLOOKUP($A6,Ronde1!$C$1:E$100,3,0),"")</f>
        <v>1</v>
      </c>
      <c r="D6" s="87">
        <f>IFERROR(VLOOKUP($A6,Ronde2!$C$1:$E$100,3,0),"")</f>
        <v>3</v>
      </c>
      <c r="E6" s="20">
        <f>IFERROR(VLOOKUP($A6,Ronde3!$C$1:$E$100,3,0),"")</f>
        <v>3</v>
      </c>
      <c r="F6" s="20" t="str">
        <f>IFERROR(VLOOKUP($A6,Ronde4!$C$1:$E$100,3,0),"")</f>
        <v/>
      </c>
      <c r="G6" s="20">
        <f t="shared" si="0"/>
        <v>3</v>
      </c>
      <c r="H6" s="87"/>
      <c r="N6" s="198"/>
      <c r="P6" s="20">
        <f>IFERROR(VLOOKUP($A6,Ronde1!$C$1:Q$100,4,0),"")</f>
        <v>1</v>
      </c>
      <c r="Q6" s="20">
        <f>IFERROR(VLOOKUP($A6,Ronde2!$C$1:R$100,4,0),"")</f>
        <v>4</v>
      </c>
      <c r="R6" s="20">
        <f>IFERROR(VLOOKUP($A6,Ronde3!$C$1:S$100,4,0),"")</f>
        <v>0</v>
      </c>
      <c r="S6" s="20" t="str">
        <f>IFERROR(VLOOKUP($A6,Ronde4!$C$1:S$100,4,0),"")</f>
        <v/>
      </c>
      <c r="U6" s="20">
        <f t="shared" si="1"/>
        <v>5</v>
      </c>
      <c r="W6" s="20">
        <v>3</v>
      </c>
    </row>
    <row r="7" spans="1:23">
      <c r="A7" s="198" t="str">
        <f>AanwezigReserve!D7</f>
        <v>Daniella Vanhalewyn</v>
      </c>
      <c r="B7" s="198">
        <f>VLOOKUP(A7,AanwezigReserve!D:F,3,0)</f>
        <v>3</v>
      </c>
      <c r="C7" s="20">
        <f>IFERROR(VLOOKUP($A7,Ronde1!$C$1:E$100,3,0),"")</f>
        <v>3</v>
      </c>
      <c r="D7" s="87">
        <f>IFERROR(VLOOKUP($A7,Ronde2!$C$1:$E$100,3,0),"")</f>
        <v>10</v>
      </c>
      <c r="E7" s="20">
        <f>IFERROR(VLOOKUP($A7,Ronde3!$C$1:$E$100,3,0),"")</f>
        <v>6</v>
      </c>
      <c r="F7" s="20" t="str">
        <f>IFERROR(VLOOKUP($A7,Ronde4!$C$1:$E$100,3,0),"")</f>
        <v/>
      </c>
      <c r="G7" s="20">
        <f t="shared" si="0"/>
        <v>3</v>
      </c>
      <c r="H7" s="87"/>
      <c r="N7" s="198"/>
      <c r="P7" s="20">
        <f>IFERROR(VLOOKUP($A7,Ronde1!$C$1:Q$100,4,0),"")</f>
        <v>2</v>
      </c>
      <c r="Q7" s="20">
        <f>IFERROR(VLOOKUP($A7,Ronde2!$C$1:R$100,4,0),"")</f>
        <v>0</v>
      </c>
      <c r="R7" s="20">
        <f>IFERROR(VLOOKUP($A7,Ronde3!$C$1:S$100,4,0),"")</f>
        <v>0</v>
      </c>
      <c r="S7" s="20" t="str">
        <f>IFERROR(VLOOKUP($A7,Ronde4!$C$1:S$100,4,0),"")</f>
        <v/>
      </c>
      <c r="U7" s="20">
        <f t="shared" si="1"/>
        <v>2</v>
      </c>
      <c r="W7" s="20">
        <v>5</v>
      </c>
    </row>
    <row r="8" spans="1:23">
      <c r="A8" s="198" t="str">
        <f>AanwezigReserve!D8</f>
        <v>Dirk De Brabander</v>
      </c>
      <c r="B8" s="198">
        <f>VLOOKUP(A8,AanwezigReserve!D:F,3,0)</f>
        <v>3</v>
      </c>
      <c r="C8" s="20">
        <f>IFERROR(VLOOKUP($A8,Ronde1!$C$1:E$100,3,0),"")</f>
        <v>3</v>
      </c>
      <c r="D8" s="87">
        <f>IFERROR(VLOOKUP($A8,Ronde2!$C$1:$E$100,3,0),"")</f>
        <v>6</v>
      </c>
      <c r="E8" s="20">
        <f>IFERROR(VLOOKUP($A8,Ronde3!$C$1:$E$100,3,0),"")</f>
        <v>6</v>
      </c>
      <c r="F8" s="20" t="str">
        <f>IFERROR(VLOOKUP($A8,Ronde4!$C$1:$E$100,3,0),"")</f>
        <v/>
      </c>
      <c r="G8" s="20">
        <f t="shared" si="0"/>
        <v>3</v>
      </c>
      <c r="H8" s="87"/>
      <c r="N8" s="198"/>
      <c r="P8" s="20">
        <f>IFERROR(VLOOKUP($A8,Ronde1!$C$1:Q$100,4,0),"")</f>
        <v>2</v>
      </c>
      <c r="Q8" s="20">
        <f>IFERROR(VLOOKUP($A8,Ronde2!$C$1:R$100,4,0),"")</f>
        <v>0</v>
      </c>
      <c r="R8" s="20">
        <f>IFERROR(VLOOKUP($A8,Ronde3!$C$1:S$100,4,0),"")</f>
        <v>0</v>
      </c>
      <c r="S8" s="20" t="str">
        <f>IFERROR(VLOOKUP($A8,Ronde4!$C$1:S$100,4,0),"")</f>
        <v/>
      </c>
      <c r="U8" s="20">
        <f t="shared" si="1"/>
        <v>2</v>
      </c>
      <c r="W8" s="20">
        <v>4</v>
      </c>
    </row>
    <row r="9" spans="1:23">
      <c r="A9" s="198" t="str">
        <f>AanwezigReserve!D9</f>
        <v>Dirk Desante</v>
      </c>
      <c r="B9" s="198">
        <f>VLOOKUP(A9,AanwezigReserve!D:F,3,0)</f>
        <v>3</v>
      </c>
      <c r="C9" s="20">
        <f>IFERROR(VLOOKUP($A9,Ronde1!$C$1:E$100,3,0),"")</f>
        <v>3</v>
      </c>
      <c r="D9" s="20">
        <f>IFERROR(VLOOKUP($A9,Ronde2!$C$1:$E$100,3,0),"")</f>
        <v>10</v>
      </c>
      <c r="E9" s="20">
        <f>IFERROR(VLOOKUP($A9,Ronde3!$C$1:$E$100,3,0),"")</f>
        <v>6</v>
      </c>
      <c r="F9" s="20" t="str">
        <f>IFERROR(VLOOKUP($A9,Ronde4!$C$1:$E$100,3,0),"")</f>
        <v/>
      </c>
      <c r="G9" s="20">
        <f t="shared" si="0"/>
        <v>3</v>
      </c>
      <c r="H9" s="87"/>
      <c r="N9" s="198"/>
      <c r="P9" s="20">
        <f>IFERROR(VLOOKUP($A9,Ronde1!$C$1:Q$100,4,0),"")</f>
        <v>2</v>
      </c>
      <c r="Q9" s="20">
        <f>IFERROR(VLOOKUP($A9,Ronde2!$C$1:R$100,4,0),"")</f>
        <v>4</v>
      </c>
      <c r="R9" s="20">
        <f>IFERROR(VLOOKUP($A9,Ronde3!$C$1:S$100,4,0),"")</f>
        <v>1</v>
      </c>
      <c r="S9" s="20" t="str">
        <f>IFERROR(VLOOKUP($A9,Ronde4!$C$1:S$100,4,0),"")</f>
        <v/>
      </c>
      <c r="U9" s="20">
        <f t="shared" si="1"/>
        <v>7</v>
      </c>
      <c r="W9" s="20">
        <v>5</v>
      </c>
    </row>
    <row r="10" spans="1:23">
      <c r="A10" s="198" t="str">
        <f>AanwezigReserve!D10</f>
        <v>Etienne Saveyn</v>
      </c>
      <c r="B10" s="198">
        <f>VLOOKUP(A10,AanwezigReserve!D:F,3,0)</f>
        <v>3</v>
      </c>
      <c r="C10" s="20">
        <f>IFERROR(VLOOKUP($A10,Ronde1!$C$1:E$100,3,0),"")</f>
        <v>10</v>
      </c>
      <c r="D10" s="87">
        <f>IFERROR(VLOOKUP($A10,Ronde2!$C$1:$E$100,3,0),"")</f>
        <v>10</v>
      </c>
      <c r="E10" s="20">
        <f>IFERROR(VLOOKUP($A10,Ronde3!$C$1:$E$100,3,0),"")</f>
        <v>10</v>
      </c>
      <c r="F10" s="20" t="str">
        <f>IFERROR(VLOOKUP($A10,Ronde4!$C$1:$E$100,3,0),"")</f>
        <v/>
      </c>
      <c r="G10" s="20">
        <f t="shared" si="0"/>
        <v>3</v>
      </c>
      <c r="H10" s="87"/>
      <c r="N10" s="198"/>
      <c r="P10" s="20">
        <f>IFERROR(VLOOKUP($A10,Ronde1!$C$1:Q$100,4,0),"")</f>
        <v>0</v>
      </c>
      <c r="Q10" s="20">
        <f>IFERROR(VLOOKUP($A10,Ronde2!$C$1:R$100,4,0),"")</f>
        <v>0</v>
      </c>
      <c r="R10" s="20">
        <f>IFERROR(VLOOKUP($A10,Ronde3!$C$1:S$100,4,0),"")</f>
        <v>0</v>
      </c>
      <c r="S10" s="20" t="str">
        <f>IFERROR(VLOOKUP($A10,Ronde4!$C$1:S$100,4,0),"")</f>
        <v/>
      </c>
      <c r="U10" s="20">
        <f t="shared" si="1"/>
        <v>0</v>
      </c>
      <c r="W10" s="20">
        <v>4</v>
      </c>
    </row>
    <row r="11" spans="1:23">
      <c r="A11" s="198" t="str">
        <f>AanwezigReserve!D11</f>
        <v>Filip Dejans</v>
      </c>
      <c r="B11" s="198">
        <f>VLOOKUP(A11,AanwezigReserve!D:F,3,0)</f>
        <v>4</v>
      </c>
      <c r="C11" s="20">
        <f>IFERROR(VLOOKUP($A11,Ronde1!$C$1:E$100,3,0),"")</f>
        <v>1</v>
      </c>
      <c r="D11" s="20">
        <f>IFERROR(VLOOKUP($A11,Ronde2!$C$1:$E$100,3,0),"")</f>
        <v>6</v>
      </c>
      <c r="E11" s="20">
        <f>IFERROR(VLOOKUP($A11,Ronde3!$C$1:$E$100,3,0),"")</f>
        <v>3</v>
      </c>
      <c r="F11" s="20">
        <f>IFERROR(VLOOKUP($A11,Ronde4!$C$1:$E$100,3,0),"")</f>
        <v>3</v>
      </c>
      <c r="G11" s="20">
        <f t="shared" si="0"/>
        <v>4</v>
      </c>
      <c r="H11" s="87"/>
      <c r="N11" s="198"/>
      <c r="P11" s="20">
        <f>IFERROR(VLOOKUP($A11,Ronde1!$C$1:Q$100,4,0),"")</f>
        <v>1</v>
      </c>
      <c r="Q11" s="20">
        <f>IFERROR(VLOOKUP($A11,Ronde2!$C$1:R$100,4,0),"")</f>
        <v>1</v>
      </c>
      <c r="R11" s="20">
        <f>IFERROR(VLOOKUP($A11,Ronde3!$C$1:S$100,4,0),"")</f>
        <v>4</v>
      </c>
      <c r="S11" s="20">
        <f>IFERROR(VLOOKUP($A11,Ronde4!$C$1:S$100,4,0),"")</f>
        <v>2</v>
      </c>
      <c r="U11" s="20">
        <f t="shared" si="1"/>
        <v>8</v>
      </c>
      <c r="W11" s="20">
        <v>5</v>
      </c>
    </row>
    <row r="12" spans="1:23">
      <c r="A12" s="198" t="str">
        <f>AanwezigReserve!D12</f>
        <v>Francine Thienpont</v>
      </c>
      <c r="B12" s="198">
        <f>VLOOKUP(A12,AanwezigReserve!D:F,3,0)</f>
        <v>3</v>
      </c>
      <c r="C12" s="20">
        <f>IFERROR(VLOOKUP($A12,Ronde1!$C$1:E$100,3,0),"")</f>
        <v>10</v>
      </c>
      <c r="D12" s="87">
        <f>IFERROR(VLOOKUP($A12,Ronde2!$C$1:$E$100,3,0),"")</f>
        <v>1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7"/>
      <c r="N12" s="198"/>
      <c r="P12" s="20">
        <f>IFERROR(VLOOKUP($A12,Ronde1!$C$1:Q$100,4,0),"")</f>
        <v>3</v>
      </c>
      <c r="Q12" s="20">
        <f>IFERROR(VLOOKUP($A12,Ronde2!$C$1:R$100,4,0),"")</f>
        <v>0</v>
      </c>
      <c r="R12" s="20">
        <f>IFERROR(VLOOKUP($A12,Ronde3!$C$1:S$100,4,0),"")</f>
        <v>0</v>
      </c>
      <c r="S12" s="20" t="str">
        <f>IFERROR(VLOOKUP($A12,Ronde4!$C$1:S$100,4,0),"")</f>
        <v/>
      </c>
      <c r="U12" s="20">
        <f t="shared" si="1"/>
        <v>3</v>
      </c>
      <c r="W12" s="20">
        <v>4</v>
      </c>
    </row>
    <row r="13" spans="1:23">
      <c r="A13" s="198" t="str">
        <f>AanwezigReserve!D13</f>
        <v>Frans Catteeuw</v>
      </c>
      <c r="B13" s="198">
        <f>VLOOKUP(A13,AanwezigReserve!D:F,3,0)</f>
        <v>3</v>
      </c>
      <c r="C13" s="20">
        <f>IFERROR(VLOOKUP($A13,Ronde1!$C$1:E$100,3,0),"")</f>
        <v>3</v>
      </c>
      <c r="D13" s="87">
        <f>IFERROR(VLOOKUP($A13,Ronde2!$C$1:$E$100,3,0),"")</f>
        <v>3</v>
      </c>
      <c r="E13" s="20">
        <f>IFERROR(VLOOKUP($A13,Ronde3!$C$1:$E$100,3,0),"")</f>
        <v>1</v>
      </c>
      <c r="F13" s="20" t="str">
        <f>IFERROR(VLOOKUP($A13,Ronde4!$C$1:$E$100,3,0),"")</f>
        <v/>
      </c>
      <c r="G13" s="20">
        <f t="shared" si="0"/>
        <v>3</v>
      </c>
      <c r="H13" s="87"/>
      <c r="N13" s="198"/>
      <c r="P13" s="20">
        <f>IFERROR(VLOOKUP($A13,Ronde1!$C$1:Q$100,4,0),"")</f>
        <v>3</v>
      </c>
      <c r="Q13" s="20">
        <f>IFERROR(VLOOKUP($A13,Ronde2!$C$1:R$100,4,0),"")</f>
        <v>0</v>
      </c>
      <c r="R13" s="20">
        <f>IFERROR(VLOOKUP($A13,Ronde3!$C$1:S$100,4,0),"")</f>
        <v>3</v>
      </c>
      <c r="S13" s="20" t="str">
        <f>IFERROR(VLOOKUP($A13,Ronde4!$C$1:S$100,4,0),"")</f>
        <v/>
      </c>
      <c r="U13" s="20">
        <f t="shared" si="1"/>
        <v>6</v>
      </c>
      <c r="W13" s="20">
        <v>0</v>
      </c>
    </row>
    <row r="14" spans="1:23">
      <c r="A14" s="198" t="str">
        <f>AanwezigReserve!D14</f>
        <v>Freddy Moerman</v>
      </c>
      <c r="B14" s="198" t="str">
        <f>VLOOKUP(A14,AanwezigReserve!D:F,3,0)</f>
        <v>A</v>
      </c>
      <c r="C14" s="20" t="str">
        <f>IFERROR(VLOOKUP($A14,Ronde1!$C$1:E$100,3,0),"")</f>
        <v/>
      </c>
      <c r="D14" s="87" t="str">
        <f>IFERROR(VLOOKUP($A14,Ronde2!$C$1:$E$100,3,0),"")</f>
        <v/>
      </c>
      <c r="E14" s="20" t="str">
        <f>IFERROR(VLOOKUP($A14,Ronde3!$C$1:$E$100,3,0),"")</f>
        <v/>
      </c>
      <c r="F14" s="20" t="str">
        <f>IFERROR(VLOOKUP($A14,Ronde4!$C$1:$E$100,3,0),"")</f>
        <v/>
      </c>
      <c r="G14" s="20">
        <f t="shared" si="0"/>
        <v>0</v>
      </c>
      <c r="H14" s="87"/>
      <c r="N14" s="198"/>
      <c r="P14" s="20" t="str">
        <f>IFERROR(VLOOKUP($A14,Ronde1!$C$1:Q$100,4,0),"")</f>
        <v/>
      </c>
      <c r="Q14" s="20" t="str">
        <f>IFERROR(VLOOKUP($A14,Ronde2!$C$1:R$100,4,0),"")</f>
        <v/>
      </c>
      <c r="R14" s="20" t="str">
        <f>IFERROR(VLOOKUP($A14,Ronde3!$C$1:S$100,4,0),"")</f>
        <v/>
      </c>
      <c r="S14" s="20" t="str">
        <f>IFERROR(VLOOKUP($A14,Ronde4!$C$1:S$100,4,0),"")</f>
        <v/>
      </c>
      <c r="U14" s="20">
        <f t="shared" si="1"/>
        <v>0</v>
      </c>
      <c r="W14" s="20">
        <v>5</v>
      </c>
    </row>
    <row r="15" spans="1:23">
      <c r="A15" s="198" t="str">
        <f>AanwezigReserve!D15</f>
        <v>Georges Tollenaere</v>
      </c>
      <c r="B15" s="198">
        <f>VLOOKUP(A15,AanwezigReserve!D:F,3,0)</f>
        <v>3</v>
      </c>
      <c r="C15" s="20">
        <f>IFERROR(VLOOKUP($A15,Ronde1!$C$1:E$100,3,0),"")</f>
        <v>1</v>
      </c>
      <c r="D15" s="20">
        <f>IFERROR(VLOOKUP($A15,Ronde2!$C$1:$E$100,3,0),"")</f>
        <v>1</v>
      </c>
      <c r="E15" s="20">
        <f>IFERROR(VLOOKUP($A15,Ronde3!$C$1:$E$100,3,0),"")</f>
        <v>6</v>
      </c>
      <c r="F15" s="20" t="str">
        <f>IFERROR(VLOOKUP($A15,Ronde4!$C$1:$E$100,3,0),"")</f>
        <v/>
      </c>
      <c r="G15" s="20">
        <f t="shared" si="0"/>
        <v>3</v>
      </c>
      <c r="H15" s="87"/>
      <c r="N15" s="198"/>
      <c r="P15" s="20">
        <f>IFERROR(VLOOKUP($A15,Ronde1!$C$1:Q$100,4,0),"")</f>
        <v>1</v>
      </c>
      <c r="Q15" s="20">
        <f>IFERROR(VLOOKUP($A15,Ronde2!$C$1:R$100,4,0),"")</f>
        <v>2</v>
      </c>
      <c r="R15" s="20">
        <f>IFERROR(VLOOKUP($A15,Ronde3!$C$1:S$100,4,0),"")</f>
        <v>3</v>
      </c>
      <c r="S15" s="20" t="str">
        <f>IFERROR(VLOOKUP($A15,Ronde4!$C$1:S$100,4,0),"")</f>
        <v/>
      </c>
      <c r="U15" s="20">
        <f t="shared" si="1"/>
        <v>6</v>
      </c>
      <c r="W15" s="20">
        <v>1</v>
      </c>
    </row>
    <row r="16" spans="1:23">
      <c r="A16" s="198" t="str">
        <f>AanwezigReserve!D16</f>
        <v>Gina Van Den Bossche</v>
      </c>
      <c r="B16" s="198" t="str">
        <f>VLOOKUP(A16,AanwezigReserve!D:F,3,0)</f>
        <v>A</v>
      </c>
      <c r="C16" s="20" t="str">
        <f>IFERROR(VLOOKUP($A16,Ronde1!$C$1:E$100,3,0),"")</f>
        <v/>
      </c>
      <c r="D16" s="20" t="str">
        <f>IFERROR(VLOOKUP($A16,Ronde2!$C$1:$E$100,3,0),"")</f>
        <v/>
      </c>
      <c r="E16" s="20" t="str">
        <f>IFERROR(VLOOKUP($A16,Ronde3!$C$1:$E$100,3,0),"")</f>
        <v/>
      </c>
      <c r="F16" s="20" t="str">
        <f>IFERROR(VLOOKUP($A16,Ronde4!$C$1:$E$100,3,0),"")</f>
        <v/>
      </c>
      <c r="G16" s="20">
        <f t="shared" si="0"/>
        <v>0</v>
      </c>
      <c r="H16" s="87"/>
      <c r="N16" s="198"/>
      <c r="P16" s="20" t="str">
        <f>IFERROR(VLOOKUP($A16,Ronde1!$C$1:Q$100,4,0),"")</f>
        <v/>
      </c>
      <c r="Q16" s="20" t="str">
        <f>IFERROR(VLOOKUP($A16,Ronde2!$C$1:R$100,4,0),"")</f>
        <v/>
      </c>
      <c r="R16" s="20" t="str">
        <f>IFERROR(VLOOKUP($A16,Ronde3!$C$1:S$100,4,0),"")</f>
        <v/>
      </c>
      <c r="S16" s="20" t="str">
        <f>IFERROR(VLOOKUP($A16,Ronde4!$C$1:S$100,4,0),"")</f>
        <v/>
      </c>
      <c r="U16" s="20">
        <f t="shared" si="1"/>
        <v>0</v>
      </c>
      <c r="W16" s="20">
        <v>7</v>
      </c>
    </row>
    <row r="17" spans="1:23">
      <c r="A17" s="198" t="str">
        <f>AanwezigReserve!D17</f>
        <v>Herman Buysse</v>
      </c>
      <c r="B17" s="198">
        <f>VLOOKUP(A17,AanwezigReserve!D:F,3,0)</f>
        <v>4</v>
      </c>
      <c r="C17" s="20">
        <f>IFERROR(VLOOKUP($A17,Ronde1!$C$1:E$100,3,0),"")</f>
        <v>1</v>
      </c>
      <c r="D17" s="20">
        <f>IFERROR(VLOOKUP($A17,Ronde2!$C$1:$E$100,3,0),"")</f>
        <v>1</v>
      </c>
      <c r="E17" s="20">
        <f>IFERROR(VLOOKUP($A17,Ronde3!$C$1:$E$100,3,0),"")</f>
        <v>3</v>
      </c>
      <c r="F17" s="20">
        <f>IFERROR(VLOOKUP($A17,Ronde4!$C$1:$E$100,3,0),"")</f>
        <v>10</v>
      </c>
      <c r="G17" s="20">
        <f t="shared" si="0"/>
        <v>4</v>
      </c>
      <c r="H17" s="87"/>
      <c r="N17" s="198"/>
      <c r="P17" s="20">
        <f>IFERROR(VLOOKUP($A17,Ronde1!$C$1:Q$100,4,0),"")</f>
        <v>5</v>
      </c>
      <c r="Q17" s="20">
        <f>IFERROR(VLOOKUP($A17,Ronde2!$C$1:R$100,4,0),"")</f>
        <v>0</v>
      </c>
      <c r="R17" s="20">
        <f>IFERROR(VLOOKUP($A17,Ronde3!$C$1:S$100,4,0),"")</f>
        <v>3</v>
      </c>
      <c r="S17" s="20">
        <f>IFERROR(VLOOKUP($A17,Ronde4!$C$1:S$100,4,0),"")</f>
        <v>1</v>
      </c>
      <c r="U17" s="20">
        <f t="shared" si="1"/>
        <v>9</v>
      </c>
      <c r="W17" s="20">
        <v>0</v>
      </c>
    </row>
    <row r="18" spans="1:23">
      <c r="A18" s="198" t="str">
        <f>AanwezigReserve!D18</f>
        <v>Hubert Verplaetse</v>
      </c>
      <c r="B18" s="198">
        <f>VLOOKUP(A18,AanwezigReserve!D:F,3,0)</f>
        <v>3</v>
      </c>
      <c r="C18" s="20">
        <f>IFERROR(VLOOKUP($A18,Ronde1!$C$1:E$100,3,0),"")</f>
        <v>3</v>
      </c>
      <c r="D18" s="20">
        <f>IFERROR(VLOOKUP($A18,Ronde2!$C$1:$E$100,3,0),"")</f>
        <v>10</v>
      </c>
      <c r="E18" s="20">
        <f>IFERROR(VLOOKUP($A18,Ronde3!$C$1:$E$100,3,0),"")</f>
        <v>3</v>
      </c>
      <c r="F18" s="20" t="str">
        <f>IFERROR(VLOOKUP($A18,Ronde4!$C$1:$E$100,3,0),"")</f>
        <v/>
      </c>
      <c r="G18" s="20">
        <f t="shared" si="0"/>
        <v>3</v>
      </c>
      <c r="H18" s="87"/>
      <c r="N18" s="198"/>
      <c r="P18" s="20">
        <f>IFERROR(VLOOKUP($A18,Ronde1!$C$1:Q$100,4,0),"")</f>
        <v>1</v>
      </c>
      <c r="Q18" s="20">
        <f>IFERROR(VLOOKUP($A18,Ronde2!$C$1:R$100,4,0),"")</f>
        <v>0</v>
      </c>
      <c r="R18" s="20">
        <f>IFERROR(VLOOKUP($A18,Ronde3!$C$1:S$100,4,0),"")</f>
        <v>0</v>
      </c>
      <c r="S18" s="20" t="str">
        <f>IFERROR(VLOOKUP($A18,Ronde4!$C$1:S$100,4,0),"")</f>
        <v/>
      </c>
      <c r="U18" s="20">
        <f t="shared" si="1"/>
        <v>1</v>
      </c>
      <c r="W18" s="20">
        <v>0</v>
      </c>
    </row>
    <row r="19" spans="1:23">
      <c r="A19" s="198" t="str">
        <f>AanwezigReserve!D19</f>
        <v>Ivan Scheir</v>
      </c>
      <c r="B19" s="198">
        <f>VLOOKUP(A19,AanwezigReserve!D:F,3,0)</f>
        <v>4</v>
      </c>
      <c r="C19" s="20">
        <f>IFERROR(VLOOKUP($A19,Ronde1!$C$1:E$100,3,0),"")</f>
        <v>1</v>
      </c>
      <c r="D19" s="20">
        <f>IFERROR(VLOOKUP($A19,Ronde2!$C$1:$E$100,3,0),"")</f>
        <v>6</v>
      </c>
      <c r="E19" s="20">
        <f>IFERROR(VLOOKUP($A19,Ronde3!$C$1:$E$100,3,0),"")</f>
        <v>10</v>
      </c>
      <c r="F19" s="20">
        <f>IFERROR(VLOOKUP($A19,Ronde4!$C$1:$E$100,3,0),"")</f>
        <v>3</v>
      </c>
      <c r="G19" s="20">
        <f t="shared" si="0"/>
        <v>4</v>
      </c>
      <c r="H19" s="87"/>
      <c r="N19" s="198"/>
      <c r="P19" s="20">
        <f>IFERROR(VLOOKUP($A19,Ronde1!$C$1:Q$100,4,0),"")</f>
        <v>0</v>
      </c>
      <c r="Q19" s="20">
        <f>IFERROR(VLOOKUP($A19,Ronde2!$C$1:R$100,4,0),"")</f>
        <v>0</v>
      </c>
      <c r="R19" s="20">
        <f>IFERROR(VLOOKUP($A19,Ronde3!$C$1:S$100,4,0),"")</f>
        <v>1</v>
      </c>
      <c r="S19" s="20">
        <f>IFERROR(VLOOKUP($A19,Ronde4!$C$1:S$100,4,0),"")</f>
        <v>1</v>
      </c>
      <c r="U19" s="20">
        <f t="shared" si="1"/>
        <v>2</v>
      </c>
      <c r="W19" s="20">
        <v>9</v>
      </c>
    </row>
    <row r="20" spans="1:23">
      <c r="A20" s="198" t="str">
        <f>AanwezigReserve!D20</f>
        <v>Jacqueline Geubels</v>
      </c>
      <c r="B20" s="198">
        <f>VLOOKUP(A20,AanwezigReserve!D:F,3,0)</f>
        <v>4</v>
      </c>
      <c r="C20" s="20">
        <f>IFERROR(VLOOKUP($A20,Ronde1!$C$1:E$100,3,0),"")</f>
        <v>1</v>
      </c>
      <c r="D20" s="20">
        <f>IFERROR(VLOOKUP($A20,Ronde2!$C$1:$E$100,3,0),"")</f>
        <v>6</v>
      </c>
      <c r="E20" s="20">
        <f>IFERROR(VLOOKUP($A20,Ronde3!$C$1:$E$100,3,0),"")</f>
        <v>6</v>
      </c>
      <c r="F20" s="20">
        <f>IFERROR(VLOOKUP($A20,Ronde4!$C$1:$E$100,3,0),"")</f>
        <v>3</v>
      </c>
      <c r="G20" s="20">
        <f t="shared" si="0"/>
        <v>4</v>
      </c>
      <c r="H20" s="87"/>
      <c r="N20" s="198"/>
      <c r="P20" s="20">
        <f>IFERROR(VLOOKUP($A20,Ronde1!$C$1:Q$100,4,0),"")</f>
        <v>0</v>
      </c>
      <c r="Q20" s="20">
        <f>IFERROR(VLOOKUP($A20,Ronde2!$C$1:R$100,4,0),"")</f>
        <v>0</v>
      </c>
      <c r="R20" s="20">
        <f>IFERROR(VLOOKUP($A20,Ronde3!$C$1:S$100,4,0),"")</f>
        <v>3</v>
      </c>
      <c r="S20" s="20">
        <f>IFERROR(VLOOKUP($A20,Ronde4!$C$1:S$100,4,0),"")</f>
        <v>0</v>
      </c>
      <c r="U20" s="20">
        <f t="shared" si="1"/>
        <v>3</v>
      </c>
      <c r="W20" s="20">
        <v>2</v>
      </c>
    </row>
    <row r="21" spans="1:23">
      <c r="A21" s="198" t="str">
        <f>AanwezigReserve!D21</f>
        <v>Jacques De Meester</v>
      </c>
      <c r="B21" s="198">
        <f>VLOOKUP(A21,AanwezigReserve!D:F,3,0)</f>
        <v>4</v>
      </c>
      <c r="C21" s="20">
        <f>IFERROR(VLOOKUP($A21,Ronde1!$C$1:E$100,3,0),"")</f>
        <v>1</v>
      </c>
      <c r="D21" s="20">
        <f>IFERROR(VLOOKUP($A21,Ronde2!$C$1:$E$100,3,0),"")</f>
        <v>10</v>
      </c>
      <c r="E21" s="20">
        <f>IFERROR(VLOOKUP($A21,Ronde3!$C$1:$E$100,3,0),"")</f>
        <v>1</v>
      </c>
      <c r="F21" s="20">
        <f>IFERROR(VLOOKUP($A21,Ronde4!$C$1:$E$100,3,0),"")</f>
        <v>6</v>
      </c>
      <c r="G21" s="20">
        <f t="shared" si="0"/>
        <v>4</v>
      </c>
      <c r="H21" s="87"/>
      <c r="N21" s="198"/>
      <c r="P21" s="20">
        <f>IFERROR(VLOOKUP($A21,Ronde1!$C$1:Q$100,4,0),"")</f>
        <v>1</v>
      </c>
      <c r="Q21" s="20">
        <f>IFERROR(VLOOKUP($A21,Ronde2!$C$1:R$100,4,0),"")</f>
        <v>0</v>
      </c>
      <c r="R21" s="20">
        <f>IFERROR(VLOOKUP($A21,Ronde3!$C$1:S$100,4,0),"")</f>
        <v>0</v>
      </c>
      <c r="S21" s="20">
        <f>IFERROR(VLOOKUP($A21,Ronde4!$C$1:S$100,4,0),"")</f>
        <v>0</v>
      </c>
      <c r="U21" s="20">
        <f t="shared" si="1"/>
        <v>1</v>
      </c>
      <c r="W21" s="20">
        <v>4</v>
      </c>
    </row>
    <row r="22" spans="1:23">
      <c r="A22" s="198" t="str">
        <f>AanwezigReserve!D22</f>
        <v>JeanM. Van Veirdeghem</v>
      </c>
      <c r="B22" s="198">
        <f>VLOOKUP(A22,AanwezigReserve!D:F,3,0)</f>
        <v>4</v>
      </c>
      <c r="C22" s="20">
        <f>IFERROR(VLOOKUP($A22,Ronde1!$C$1:E$100,3,0),"")</f>
        <v>6</v>
      </c>
      <c r="D22" s="20">
        <f>IFERROR(VLOOKUP($A22,Ronde2!$C$1:$E$100,3,0),"")</f>
        <v>10</v>
      </c>
      <c r="E22" s="20">
        <f>IFERROR(VLOOKUP($A22,Ronde3!$C$1:$E$100,3,0),"")</f>
        <v>10</v>
      </c>
      <c r="F22" s="20">
        <f>IFERROR(VLOOKUP($A22,Ronde4!$C$1:$E$100,3,0),"")</f>
        <v>10</v>
      </c>
      <c r="G22" s="20">
        <f t="shared" si="0"/>
        <v>4</v>
      </c>
      <c r="H22" s="87"/>
      <c r="N22" s="198"/>
      <c r="P22" s="20">
        <f>IFERROR(VLOOKUP($A22,Ronde1!$C$1:Q$100,4,0),"")</f>
        <v>1</v>
      </c>
      <c r="Q22" s="20">
        <f>IFERROR(VLOOKUP($A22,Ronde2!$C$1:R$100,4,0),"")</f>
        <v>1</v>
      </c>
      <c r="R22" s="20">
        <f>IFERROR(VLOOKUP($A22,Ronde3!$C$1:S$100,4,0),"")</f>
        <v>0</v>
      </c>
      <c r="S22" s="20">
        <f>IFERROR(VLOOKUP($A22,Ronde4!$C$1:S$100,4,0),"")</f>
        <v>1</v>
      </c>
      <c r="U22" s="20">
        <f t="shared" si="1"/>
        <v>3</v>
      </c>
      <c r="W22" s="20">
        <v>12</v>
      </c>
    </row>
    <row r="23" spans="1:23">
      <c r="A23" s="198" t="str">
        <f>AanwezigReserve!D23</f>
        <v>Johan Saey</v>
      </c>
      <c r="B23" s="198">
        <f>VLOOKUP(A23,AanwezigReserve!D:F,3,0)</f>
        <v>4</v>
      </c>
      <c r="C23" s="20">
        <f>IFERROR(VLOOKUP($A23,Ronde1!$C$1:E$100,3,0),"")</f>
        <v>3</v>
      </c>
      <c r="D23" s="20">
        <f>IFERROR(VLOOKUP($A23,Ronde2!$C$1:$E$100,3,0),"")</f>
        <v>3</v>
      </c>
      <c r="E23" s="20">
        <f>IFERROR(VLOOKUP($A23,Ronde3!$C$1:$E$100,3,0),"")</f>
        <v>6</v>
      </c>
      <c r="F23" s="20">
        <f>IFERROR(VLOOKUP($A23,Ronde4!$C$1:$E$100,3,0),"")</f>
        <v>1</v>
      </c>
      <c r="G23" s="20">
        <f t="shared" si="0"/>
        <v>4</v>
      </c>
      <c r="H23" s="87"/>
      <c r="N23" s="198"/>
      <c r="P23" s="20">
        <f>IFERROR(VLOOKUP($A23,Ronde1!$C$1:Q$100,4,0),"")</f>
        <v>0</v>
      </c>
      <c r="Q23" s="20">
        <f>IFERROR(VLOOKUP($A23,Ronde2!$C$1:R$100,4,0),"")</f>
        <v>0</v>
      </c>
      <c r="R23" s="20">
        <f>IFERROR(VLOOKUP($A23,Ronde3!$C$1:S$100,4,0),"")</f>
        <v>1</v>
      </c>
      <c r="S23" s="20">
        <f>IFERROR(VLOOKUP($A23,Ronde4!$C$1:S$100,4,0),"")</f>
        <v>0</v>
      </c>
      <c r="U23" s="20">
        <f t="shared" si="1"/>
        <v>1</v>
      </c>
      <c r="W23" s="20">
        <v>0</v>
      </c>
    </row>
    <row r="24" spans="1:23">
      <c r="A24" s="198" t="str">
        <f>AanwezigReserve!D24</f>
        <v>Jozef Van Landeghem</v>
      </c>
      <c r="B24" s="198">
        <f>VLOOKUP(A24,AanwezigReserve!D:F,3,0)</f>
        <v>4</v>
      </c>
      <c r="C24" s="20">
        <f>IFERROR(VLOOKUP($A24,Ronde1!$C$1:E$100,3,0),"")</f>
        <v>6</v>
      </c>
      <c r="D24" s="87">
        <f>IFERROR(VLOOKUP($A24,Ronde2!$C$1:$E$100,3,0),"")</f>
        <v>1</v>
      </c>
      <c r="E24" s="20">
        <f>IFERROR(VLOOKUP($A24,Ronde3!$C$1:$E$100,3,0),"")</f>
        <v>6</v>
      </c>
      <c r="F24" s="20">
        <f>IFERROR(VLOOKUP($A24,Ronde4!$C$1:$E$100,3,0),"")</f>
        <v>10</v>
      </c>
      <c r="G24" s="20">
        <f t="shared" si="0"/>
        <v>4</v>
      </c>
      <c r="H24" s="87"/>
      <c r="N24" s="198"/>
      <c r="P24" s="20">
        <f>IFERROR(VLOOKUP($A24,Ronde1!$C$1:Q$100,4,0),"")</f>
        <v>5</v>
      </c>
      <c r="Q24" s="20">
        <f>IFERROR(VLOOKUP($A24,Ronde2!$C$1:R$100,4,0),"")</f>
        <v>1</v>
      </c>
      <c r="R24" s="20">
        <f>IFERROR(VLOOKUP($A24,Ronde3!$C$1:S$100,4,0),"")</f>
        <v>0</v>
      </c>
      <c r="S24" s="20">
        <f>IFERROR(VLOOKUP($A24,Ronde4!$C$1:S$100,4,0),"")</f>
        <v>0</v>
      </c>
      <c r="U24" s="20">
        <f t="shared" si="1"/>
        <v>6</v>
      </c>
      <c r="W24" s="20">
        <v>0</v>
      </c>
    </row>
    <row r="25" spans="1:23">
      <c r="A25" s="198" t="str">
        <f>AanwezigReserve!D25</f>
        <v>Julien Herrebaut</v>
      </c>
      <c r="B25" s="198">
        <f>VLOOKUP(A25,AanwezigReserve!D:F,3,0)</f>
        <v>4</v>
      </c>
      <c r="C25" s="20">
        <f>IFERROR(VLOOKUP($A25,Ronde1!$C$1:E$100,3,0),"")</f>
        <v>6</v>
      </c>
      <c r="D25" s="20">
        <f>IFERROR(VLOOKUP($A25,Ronde2!$C$1:$E$100,3,0),"")</f>
        <v>1</v>
      </c>
      <c r="E25" s="20">
        <f>IFERROR(VLOOKUP($A25,Ronde3!$C$1:$E$100,3,0),"")</f>
        <v>1</v>
      </c>
      <c r="F25" s="20">
        <f>IFERROR(VLOOKUP($A25,Ronde4!$C$1:$E$100,3,0),"")</f>
        <v>10</v>
      </c>
      <c r="G25" s="20">
        <f t="shared" si="0"/>
        <v>4</v>
      </c>
      <c r="N25" s="198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0</v>
      </c>
      <c r="S25" s="20">
        <f>IFERROR(VLOOKUP($A25,Ronde4!$C$1:S$100,4,0),"")</f>
        <v>0</v>
      </c>
      <c r="U25" s="20">
        <f t="shared" si="1"/>
        <v>3</v>
      </c>
      <c r="W25" s="20">
        <v>2</v>
      </c>
    </row>
    <row r="26" spans="1:23">
      <c r="A26" s="198" t="str">
        <f>AanwezigReserve!D26</f>
        <v>Lucien Van Peteghem</v>
      </c>
      <c r="B26" s="198">
        <f>VLOOKUP(A26,AanwezigReserve!D:F,3,0)</f>
        <v>4</v>
      </c>
      <c r="C26" s="20">
        <f>IFERROR(VLOOKUP($A26,Ronde1!$C$1:E$100,3,0),"")</f>
        <v>10</v>
      </c>
      <c r="D26" s="87">
        <f>IFERROR(VLOOKUP($A26,Ronde2!$C$1:$E$100,3,0),"")</f>
        <v>1</v>
      </c>
      <c r="E26" s="20">
        <f>IFERROR(VLOOKUP($A26,Ronde3!$C$1:$E$100,3,0),"")</f>
        <v>10</v>
      </c>
      <c r="F26" s="20">
        <f>IFERROR(VLOOKUP($A26,Ronde4!$C$1:$E$100,3,0),"")</f>
        <v>6</v>
      </c>
      <c r="G26" s="20">
        <f t="shared" si="0"/>
        <v>4</v>
      </c>
      <c r="H26" s="87"/>
      <c r="N26" s="198"/>
      <c r="P26" s="20">
        <f>IFERROR(VLOOKUP($A26,Ronde1!$C$1:Q$100,4,0),"")</f>
        <v>0</v>
      </c>
      <c r="Q26" s="20">
        <f>IFERROR(VLOOKUP($A26,Ronde2!$C$1:R$100,4,0),"")</f>
        <v>0</v>
      </c>
      <c r="R26" s="20">
        <f>IFERROR(VLOOKUP($A26,Ronde3!$C$1:S$100,4,0),"")</f>
        <v>0</v>
      </c>
      <c r="S26" s="20">
        <f>IFERROR(VLOOKUP($A26,Ronde4!$C$1:S$100,4,0),"")</f>
        <v>0</v>
      </c>
      <c r="U26" s="20">
        <f t="shared" si="1"/>
        <v>0</v>
      </c>
      <c r="W26" s="20">
        <v>5</v>
      </c>
    </row>
    <row r="27" spans="1:23">
      <c r="A27" s="198" t="str">
        <f>AanwezigReserve!D27</f>
        <v>Lutgarde Vanderhaegen</v>
      </c>
      <c r="B27" s="198">
        <f>VLOOKUP(A27,AanwezigReserve!D:F,3,0)</f>
        <v>3</v>
      </c>
      <c r="C27" s="20">
        <f>IFERROR(VLOOKUP($A27,Ronde1!$C$1:E$100,3,0),"")</f>
        <v>10</v>
      </c>
      <c r="D27" s="87">
        <f>IFERROR(VLOOKUP($A27,Ronde2!$C$1:$E$100,3,0),"")</f>
        <v>3</v>
      </c>
      <c r="E27" s="20">
        <f>IFERROR(VLOOKUP($A27,Ronde3!$C$1:$E$100,3,0),"")</f>
        <v>3</v>
      </c>
      <c r="F27" s="20" t="str">
        <f>IFERROR(VLOOKUP($A27,Ronde4!$C$1:$E$100,3,0),"")</f>
        <v/>
      </c>
      <c r="G27" s="20">
        <f t="shared" si="0"/>
        <v>3</v>
      </c>
      <c r="H27" s="87"/>
      <c r="N27" s="198"/>
      <c r="P27" s="20">
        <f>IFERROR(VLOOKUP($A27,Ronde1!$C$1:Q$100,4,0),"")</f>
        <v>0</v>
      </c>
      <c r="Q27" s="20">
        <f>IFERROR(VLOOKUP($A27,Ronde2!$C$1:R$100,4,0),"")</f>
        <v>1</v>
      </c>
      <c r="R27" s="20">
        <f>IFERROR(VLOOKUP($A27,Ronde3!$C$1:S$100,4,0),"")</f>
        <v>4</v>
      </c>
      <c r="S27" s="20" t="str">
        <f>IFERROR(VLOOKUP($A27,Ronde4!$C$1:S$100,4,0),"")</f>
        <v/>
      </c>
      <c r="U27" s="20">
        <f t="shared" si="1"/>
        <v>5</v>
      </c>
      <c r="W27" s="20">
        <v>14</v>
      </c>
    </row>
    <row r="28" spans="1:23">
      <c r="A28" s="198" t="str">
        <f>AanwezigReserve!D28</f>
        <v>Lydie Ysveld</v>
      </c>
      <c r="B28" s="198" t="str">
        <f>VLOOKUP(A28,AanwezigReserve!D:F,3,0)</f>
        <v>A</v>
      </c>
      <c r="C28" s="20" t="str">
        <f>IFERROR(VLOOKUP($A28,Ronde1!$C$1:E$100,3,0),"")</f>
        <v/>
      </c>
      <c r="D28" s="87" t="str">
        <f>IFERROR(VLOOKUP($A28,Ronde2!$C$1:$E$100,3,0),"")</f>
        <v/>
      </c>
      <c r="E28" s="20" t="str">
        <f>IFERROR(VLOOKUP($A28,Ronde3!$C$1:$E$100,3,0),"")</f>
        <v/>
      </c>
      <c r="F28" s="20" t="str">
        <f>IFERROR(VLOOKUP($A28,Ronde4!$C$1:$E$100,3,0),"")</f>
        <v/>
      </c>
      <c r="G28" s="20">
        <f t="shared" si="0"/>
        <v>0</v>
      </c>
      <c r="H28" s="87"/>
      <c r="N28" s="198"/>
      <c r="P28" s="20" t="str">
        <f>IFERROR(VLOOKUP($A28,Ronde1!$C$1:Q$100,4,0),"")</f>
        <v/>
      </c>
      <c r="Q28" s="20" t="str">
        <f>IFERROR(VLOOKUP($A28,Ronde2!$C$1:R$100,4,0),"")</f>
        <v/>
      </c>
      <c r="R28" s="20" t="str">
        <f>IFERROR(VLOOKUP($A28,Ronde3!$C$1:S$100,4,0),"")</f>
        <v/>
      </c>
      <c r="S28" s="20" t="str">
        <f>IFERROR(VLOOKUP($A28,Ronde4!$C$1:S$100,4,0),"")</f>
        <v/>
      </c>
      <c r="U28" s="20">
        <f t="shared" si="1"/>
        <v>0</v>
      </c>
      <c r="W28" s="20">
        <v>0</v>
      </c>
    </row>
    <row r="29" spans="1:23">
      <c r="A29" s="198" t="str">
        <f>AanwezigReserve!D29</f>
        <v>Marc Ediers</v>
      </c>
      <c r="B29" s="198" t="str">
        <f>VLOOKUP(A29,AanwezigReserve!D:F,3,0)</f>
        <v>A</v>
      </c>
      <c r="C29" s="20" t="str">
        <f>IFERROR(VLOOKUP($A29,Ronde1!$C$1:E$100,3,0),"")</f>
        <v/>
      </c>
      <c r="D29" s="20" t="str">
        <f>IFERROR(VLOOKUP($A29,Ronde2!$C$1:$E$100,3,0),"")</f>
        <v/>
      </c>
      <c r="E29" s="20" t="str">
        <f>IFERROR(VLOOKUP($A29,Ronde3!$C$1:$E$100,3,0),"")</f>
        <v/>
      </c>
      <c r="F29" s="20" t="str">
        <f>IFERROR(VLOOKUP($A29,Ronde4!$C$1:$E$100,3,0),"")</f>
        <v/>
      </c>
      <c r="G29" s="20">
        <f t="shared" si="0"/>
        <v>0</v>
      </c>
      <c r="H29" s="87"/>
      <c r="N29" s="198"/>
      <c r="P29" s="20" t="str">
        <f>IFERROR(VLOOKUP($A29,Ronde1!$C$1:Q$100,4,0),"")</f>
        <v/>
      </c>
      <c r="Q29" s="20" t="str">
        <f>IFERROR(VLOOKUP($A29,Ronde2!$C$1:R$100,4,0),"")</f>
        <v/>
      </c>
      <c r="R29" s="20" t="str">
        <f>IFERROR(VLOOKUP($A29,Ronde3!$C$1:S$100,4,0),"")</f>
        <v/>
      </c>
      <c r="S29" s="20" t="str">
        <f>IFERROR(VLOOKUP($A29,Ronde4!$C$1:S$100,4,0),"")</f>
        <v/>
      </c>
      <c r="U29" s="20">
        <f t="shared" si="1"/>
        <v>0</v>
      </c>
      <c r="W29" s="20">
        <v>0</v>
      </c>
    </row>
    <row r="30" spans="1:23">
      <c r="A30" s="198" t="str">
        <f>AanwezigReserve!D30</f>
        <v>Marguerite Van Hende</v>
      </c>
      <c r="B30" s="198">
        <f>VLOOKUP(A30,AanwezigReserve!D:F,3,0)</f>
        <v>3</v>
      </c>
      <c r="C30" s="20">
        <f>IFERROR(VLOOKUP($A30,Ronde1!$C$1:E$100,3,0),"")</f>
        <v>6</v>
      </c>
      <c r="D30" s="20">
        <f>IFERROR(VLOOKUP($A30,Ronde2!$C$1:$E$100,3,0),"")</f>
        <v>6</v>
      </c>
      <c r="E30" s="20">
        <f>IFERROR(VLOOKUP($A30,Ronde3!$C$1:$E$100,3,0),"")</f>
        <v>1</v>
      </c>
      <c r="F30" s="20" t="str">
        <f>IFERROR(VLOOKUP($A30,Ronde4!$C$1:$E$100,3,0),"")</f>
        <v/>
      </c>
      <c r="G30" s="20">
        <f t="shared" si="0"/>
        <v>3</v>
      </c>
      <c r="H30" s="87"/>
      <c r="N30" s="198"/>
      <c r="P30" s="20">
        <f>IFERROR(VLOOKUP($A30,Ronde1!$C$1:Q$100,4,0),"")</f>
        <v>0</v>
      </c>
      <c r="Q30" s="20">
        <f>IFERROR(VLOOKUP($A30,Ronde2!$C$1:R$100,4,0),"")</f>
        <v>0</v>
      </c>
      <c r="R30" s="20">
        <f>IFERROR(VLOOKUP($A30,Ronde3!$C$1:S$100,4,0),"")</f>
        <v>0</v>
      </c>
      <c r="S30" s="20" t="str">
        <f>IFERROR(VLOOKUP($A30,Ronde4!$C$1:S$100,4,0),"")</f>
        <v/>
      </c>
      <c r="U30" s="20">
        <f t="shared" si="1"/>
        <v>0</v>
      </c>
      <c r="W30" s="20">
        <v>0</v>
      </c>
    </row>
    <row r="31" spans="1:23">
      <c r="A31" s="198" t="str">
        <f>AanwezigReserve!D31</f>
        <v>Marleen Denert</v>
      </c>
      <c r="B31" s="198">
        <f>VLOOKUP(A31,AanwezigReserve!D:F,3,0)</f>
        <v>4</v>
      </c>
      <c r="C31" s="20">
        <f>IFERROR(VLOOKUP($A31,Ronde1!$C$1:E$100,3,0),"")</f>
        <v>10</v>
      </c>
      <c r="D31" s="87">
        <f>IFERROR(VLOOKUP($A31,Ronde2!$C$1:$E$100,3,0),"")</f>
        <v>6</v>
      </c>
      <c r="E31" s="20">
        <f>IFERROR(VLOOKUP($A31,Ronde3!$C$1:$E$100,3,0),"")</f>
        <v>3</v>
      </c>
      <c r="F31" s="20">
        <f>IFERROR(VLOOKUP($A31,Ronde4!$C$1:$E$100,3,0),"")</f>
        <v>1</v>
      </c>
      <c r="G31" s="20">
        <f t="shared" si="0"/>
        <v>4</v>
      </c>
      <c r="H31" s="87"/>
      <c r="N31" s="198"/>
      <c r="P31" s="20">
        <f>IFERROR(VLOOKUP($A31,Ronde1!$C$1:Q$100,4,0),"")</f>
        <v>0</v>
      </c>
      <c r="Q31" s="20">
        <f>IFERROR(VLOOKUP($A31,Ronde2!$C$1:R$100,4,0),"")</f>
        <v>0</v>
      </c>
      <c r="R31" s="20">
        <f>IFERROR(VLOOKUP($A31,Ronde3!$C$1:S$100,4,0),"")</f>
        <v>4</v>
      </c>
      <c r="S31" s="20">
        <f>IFERROR(VLOOKUP($A31,Ronde4!$C$1:S$100,4,0),"")</f>
        <v>0</v>
      </c>
      <c r="U31" s="20">
        <f t="shared" si="1"/>
        <v>4</v>
      </c>
      <c r="W31" s="20">
        <v>0</v>
      </c>
    </row>
    <row r="32" spans="1:23">
      <c r="A32" s="198" t="str">
        <f>AanwezigReserve!D32</f>
        <v>Michel Van Laere</v>
      </c>
      <c r="B32" s="198">
        <f>VLOOKUP(A32,AanwezigReserve!D:F,3,0)</f>
        <v>4</v>
      </c>
      <c r="C32" s="20">
        <f>IFERROR(VLOOKUP($A32,Ronde1!$C$1:E$100,3,0),"")</f>
        <v>6</v>
      </c>
      <c r="D32" s="87">
        <f>IFERROR(VLOOKUP($A32,Ronde2!$C$1:$E$100,3,0),"")</f>
        <v>3</v>
      </c>
      <c r="E32" s="20">
        <f>IFERROR(VLOOKUP($A32,Ronde3!$C$1:$E$100,3,0),"")</f>
        <v>3</v>
      </c>
      <c r="F32" s="20">
        <f>IFERROR(VLOOKUP($A32,Ronde4!$C$1:$E$100,3,0),"")</f>
        <v>6</v>
      </c>
      <c r="G32" s="20">
        <f t="shared" si="0"/>
        <v>4</v>
      </c>
      <c r="H32" s="87"/>
      <c r="N32" s="198"/>
      <c r="P32" s="20">
        <f>IFERROR(VLOOKUP($A32,Ronde1!$C$1:Q$100,4,0),"")</f>
        <v>1</v>
      </c>
      <c r="Q32" s="20">
        <f>IFERROR(VLOOKUP($A32,Ronde2!$C$1:R$100,4,0),"")</f>
        <v>2</v>
      </c>
      <c r="R32" s="20">
        <f>IFERROR(VLOOKUP($A32,Ronde3!$C$1:S$100,4,0),"")</f>
        <v>2</v>
      </c>
      <c r="S32" s="20">
        <f>IFERROR(VLOOKUP($A32,Ronde4!$C$1:S$100,4,0),"")</f>
        <v>0</v>
      </c>
      <c r="U32" s="20">
        <f t="shared" si="1"/>
        <v>5</v>
      </c>
      <c r="W32" s="20">
        <v>0</v>
      </c>
    </row>
    <row r="33" spans="1:23">
      <c r="A33" s="198" t="str">
        <f>AanwezigReserve!D33</f>
        <v>Nestor Meirte</v>
      </c>
      <c r="B33" s="198">
        <f>VLOOKUP(A33,AanwezigReserve!D:F,3,0)</f>
        <v>3</v>
      </c>
      <c r="C33" s="20">
        <f>IFERROR(VLOOKUP($A33,Ronde1!$C$1:E$100,3,0),"")</f>
        <v>10</v>
      </c>
      <c r="D33" s="20">
        <f>IFERROR(VLOOKUP($A33,Ronde2!$C$1:$E$100,3,0),"")</f>
        <v>1</v>
      </c>
      <c r="E33" s="20">
        <f>IFERROR(VLOOKUP($A33,Ronde3!$C$1:$E$100,3,0),"")</f>
        <v>1</v>
      </c>
      <c r="F33" s="20" t="str">
        <f>IFERROR(VLOOKUP($A33,Ronde4!$C$1:$E$100,3,0),"")</f>
        <v/>
      </c>
      <c r="G33" s="20">
        <f t="shared" si="0"/>
        <v>3</v>
      </c>
      <c r="H33" s="87"/>
      <c r="N33" s="198"/>
      <c r="P33" s="20">
        <f>IFERROR(VLOOKUP($A33,Ronde1!$C$1:Q$100,4,0),"")</f>
        <v>1</v>
      </c>
      <c r="Q33" s="20">
        <f>IFERROR(VLOOKUP($A33,Ronde2!$C$1:R$100,4,0),"")</f>
        <v>0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3</v>
      </c>
      <c r="W33" s="20">
        <v>6</v>
      </c>
    </row>
    <row r="34" spans="1:23">
      <c r="A34" s="198" t="str">
        <f>AanwezigReserve!D34</f>
        <v>Patrick Geys</v>
      </c>
      <c r="B34" s="198">
        <f>VLOOKUP(A34,AanwezigReserve!D:F,3,0)</f>
        <v>4</v>
      </c>
      <c r="C34" s="20">
        <f>IFERROR(VLOOKUP($A34,Ronde1!$C$1:E$100,3,0),"")</f>
        <v>10</v>
      </c>
      <c r="D34" s="20">
        <f>IFERROR(VLOOKUP($A34,Ronde2!$C$1:$E$100,3,0),"")</f>
        <v>6</v>
      </c>
      <c r="E34" s="20">
        <f>IFERROR(VLOOKUP($A34,Ronde3!$C$1:$E$100,3,0),"")</f>
        <v>10</v>
      </c>
      <c r="F34" s="20">
        <f>IFERROR(VLOOKUP($A34,Ronde4!$C$1:$E$100,3,0),"")</f>
        <v>1</v>
      </c>
      <c r="G34" s="20">
        <f t="shared" si="0"/>
        <v>4</v>
      </c>
      <c r="H34" s="87"/>
      <c r="N34" s="198"/>
      <c r="P34" s="20">
        <f>IFERROR(VLOOKUP($A34,Ronde1!$C$1:Q$100,4,0),"")</f>
        <v>0</v>
      </c>
      <c r="Q34" s="20">
        <f>IFERROR(VLOOKUP($A34,Ronde2!$C$1:R$100,4,0),"")</f>
        <v>0</v>
      </c>
      <c r="R34" s="20">
        <f>IFERROR(VLOOKUP($A34,Ronde3!$C$1:S$100,4,0),"")</f>
        <v>0</v>
      </c>
      <c r="S34" s="20">
        <f>IFERROR(VLOOKUP($A34,Ronde4!$C$1:S$100,4,0),"")</f>
        <v>5</v>
      </c>
      <c r="U34" s="20">
        <f t="shared" si="1"/>
        <v>5</v>
      </c>
      <c r="W34" s="20">
        <v>0</v>
      </c>
    </row>
    <row r="35" spans="1:23">
      <c r="A35" s="198" t="str">
        <f>AanwezigReserve!D35</f>
        <v>Philippe Vergote</v>
      </c>
      <c r="B35" s="198" t="str">
        <f>VLOOKUP(A35,AanwezigReserve!D:F,3,0)</f>
        <v>A</v>
      </c>
      <c r="C35" s="20" t="str">
        <f>IFERROR(VLOOKUP($A35,Ronde1!$C$1:E$100,3,0),"")</f>
        <v/>
      </c>
      <c r="D35" s="87" t="str">
        <f>IFERROR(VLOOKUP($A35,Ronde2!$C$1:$E$100,3,0),"")</f>
        <v/>
      </c>
      <c r="E35" s="20" t="str">
        <f>IFERROR(VLOOKUP($A35,Ronde3!$C$1:$E$100,3,0),"")</f>
        <v/>
      </c>
      <c r="F35" s="20" t="str">
        <f>IFERROR(VLOOKUP($A35,Ronde4!$C$1:$E$100,3,0),"")</f>
        <v/>
      </c>
      <c r="G35" s="20">
        <f t="shared" si="0"/>
        <v>0</v>
      </c>
      <c r="H35" s="87"/>
      <c r="N35" s="198"/>
      <c r="P35" s="20" t="str">
        <f>IFERROR(VLOOKUP($A35,Ronde1!$C$1:Q$100,4,0),"")</f>
        <v/>
      </c>
      <c r="Q35" s="20" t="str">
        <f>IFERROR(VLOOKUP($A35,Ronde2!$C$1:R$100,4,0),"")</f>
        <v/>
      </c>
      <c r="R35" s="20" t="str">
        <f>IFERROR(VLOOKUP($A35,Ronde3!$C$1:S$100,4,0),"")</f>
        <v/>
      </c>
      <c r="S35" s="20" t="str">
        <f>IFERROR(VLOOKUP($A35,Ronde4!$C$1:S$100,4,0),"")</f>
        <v/>
      </c>
      <c r="U35" s="20">
        <f t="shared" si="1"/>
        <v>0</v>
      </c>
      <c r="W35" s="20">
        <v>6</v>
      </c>
    </row>
    <row r="36" spans="1:23">
      <c r="A36" s="198" t="str">
        <f>AanwezigReserve!D36</f>
        <v>Pol Callebert</v>
      </c>
      <c r="B36" s="198">
        <f>VLOOKUP(A36,AanwezigReserve!D:F,3,0)</f>
        <v>3</v>
      </c>
      <c r="C36" s="20">
        <f>IFERROR(VLOOKUP($A36,Ronde1!$C$1:E$100,3,0),"")</f>
        <v>1</v>
      </c>
      <c r="D36" s="20">
        <f>IFERROR(VLOOKUP($A36,Ronde2!$C$1:$E$100,3,0),"")</f>
        <v>6</v>
      </c>
      <c r="E36" s="20">
        <f>IFERROR(VLOOKUP($A36,Ronde3!$C$1:$E$100,3,0),"")</f>
        <v>1</v>
      </c>
      <c r="F36" s="20" t="str">
        <f>IFERROR(VLOOKUP($A36,Ronde4!$C$1:$E$100,3,0),"")</f>
        <v/>
      </c>
      <c r="G36" s="20">
        <f t="shared" si="0"/>
        <v>3</v>
      </c>
      <c r="H36" s="87"/>
      <c r="N36" s="198"/>
      <c r="P36" s="20">
        <f>IFERROR(VLOOKUP($A36,Ronde1!$C$1:Q$100,4,0),"")</f>
        <v>0</v>
      </c>
      <c r="Q36" s="20">
        <f>IFERROR(VLOOKUP($A36,Ronde2!$C$1:R$100,4,0),"")</f>
        <v>0</v>
      </c>
      <c r="R36" s="20">
        <f>IFERROR(VLOOKUP($A36,Ronde3!$C$1:S$100,4,0),"")</f>
        <v>4</v>
      </c>
      <c r="S36" s="20" t="str">
        <f>IFERROR(VLOOKUP($A36,Ronde4!$C$1:S$100,4,0),"")</f>
        <v/>
      </c>
      <c r="U36" s="20">
        <f t="shared" si="1"/>
        <v>4</v>
      </c>
      <c r="W36" s="20">
        <v>4</v>
      </c>
    </row>
    <row r="37" spans="1:23">
      <c r="A37" s="198" t="str">
        <f>AanwezigReserve!D37</f>
        <v>Regina De Pauw</v>
      </c>
      <c r="B37" s="198">
        <f>VLOOKUP(A37,AanwezigReserve!D:F,3,0)</f>
        <v>4</v>
      </c>
      <c r="C37" s="20">
        <f>IFERROR(VLOOKUP($A37,Ronde1!$C$1:E$100,3,0),"")</f>
        <v>6</v>
      </c>
      <c r="D37" s="20">
        <f>IFERROR(VLOOKUP($A37,Ronde2!$C$1:$E$100,3,0),"")</f>
        <v>1</v>
      </c>
      <c r="E37" s="20">
        <f>IFERROR(VLOOKUP($A37,Ronde3!$C$1:$E$100,3,0),"")</f>
        <v>1</v>
      </c>
      <c r="F37" s="20">
        <f>IFERROR(VLOOKUP($A37,Ronde4!$C$1:$E$100,3,0),"")</f>
        <v>3</v>
      </c>
      <c r="G37" s="20">
        <f t="shared" si="0"/>
        <v>4</v>
      </c>
      <c r="H37" s="87"/>
      <c r="N37" s="198"/>
      <c r="P37" s="20">
        <f>IFERROR(VLOOKUP($A37,Ronde1!$C$1:Q$100,4,0),"")</f>
        <v>1</v>
      </c>
      <c r="Q37" s="20">
        <f>IFERROR(VLOOKUP($A37,Ronde2!$C$1:R$100,4,0),"")</f>
        <v>0</v>
      </c>
      <c r="R37" s="20">
        <f>IFERROR(VLOOKUP($A37,Ronde3!$C$1:S$100,4,0),"")</f>
        <v>3</v>
      </c>
      <c r="S37" s="20">
        <f>IFERROR(VLOOKUP($A37,Ronde4!$C$1:S$100,4,0),"")</f>
        <v>0</v>
      </c>
      <c r="U37" s="20">
        <f t="shared" si="1"/>
        <v>4</v>
      </c>
      <c r="W37" s="20">
        <v>0</v>
      </c>
    </row>
    <row r="38" spans="1:23">
      <c r="A38" s="198" t="str">
        <f>AanwezigReserve!D38</f>
        <v>Rik Malfliet</v>
      </c>
      <c r="B38" s="198" t="str">
        <f>VLOOKUP(A38,AanwezigReserve!D:F,3,0)</f>
        <v>A</v>
      </c>
      <c r="C38" s="20" t="str">
        <f>IFERROR(VLOOKUP($A38,Ronde1!$C$1:E$100,3,0),"")</f>
        <v/>
      </c>
      <c r="D38" s="20" t="str">
        <f>IFERROR(VLOOKUP($A38,Ronde2!$C$1:$E$100,3,0),"")</f>
        <v/>
      </c>
      <c r="E38" s="20" t="str">
        <f>IFERROR(VLOOKUP($A38,Ronde3!$C$1:$E$100,3,0),"")</f>
        <v/>
      </c>
      <c r="F38" s="20" t="str">
        <f>IFERROR(VLOOKUP($A38,Ronde4!$C$1:$E$100,3,0),"")</f>
        <v/>
      </c>
      <c r="G38" s="20">
        <f t="shared" si="0"/>
        <v>0</v>
      </c>
      <c r="H38" s="87"/>
      <c r="N38" s="198"/>
      <c r="P38" s="20" t="str">
        <f>IFERROR(VLOOKUP($A38,Ronde1!$C$1:Q$100,4,0),"")</f>
        <v/>
      </c>
      <c r="Q38" s="20" t="str">
        <f>IFERROR(VLOOKUP($A38,Ronde2!$C$1:R$100,4,0),"")</f>
        <v/>
      </c>
      <c r="R38" s="20" t="str">
        <f>IFERROR(VLOOKUP($A38,Ronde3!$C$1:S$100,4,0),"")</f>
        <v/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98" t="str">
        <f>AanwezigReserve!D39</f>
        <v>Rita Van Helleputte</v>
      </c>
      <c r="B39" s="198">
        <f>VLOOKUP(A39,AanwezigReserve!D:F,3,0)</f>
        <v>3</v>
      </c>
      <c r="C39" s="20">
        <f>IFERROR(VLOOKUP($A39,Ronde1!$C$1:E$100,3,0),"")</f>
        <v>1</v>
      </c>
      <c r="D39" s="87">
        <f>IFERROR(VLOOKUP($A39,Ronde2!$C$1:$E$100,3,0),"")</f>
        <v>3</v>
      </c>
      <c r="E39" s="20">
        <f>IFERROR(VLOOKUP($A39,Ronde3!$C$1:$E$100,3,0),"")</f>
        <v>10</v>
      </c>
      <c r="F39" s="20" t="str">
        <f>IFERROR(VLOOKUP($A39,Ronde4!$C$1:$E$100,3,0),"")</f>
        <v/>
      </c>
      <c r="G39" s="20">
        <f t="shared" si="0"/>
        <v>3</v>
      </c>
      <c r="H39" s="87"/>
      <c r="N39" s="198"/>
      <c r="P39" s="20">
        <f>IFERROR(VLOOKUP($A39,Ronde1!$C$1:Q$100,4,0),"")</f>
        <v>0</v>
      </c>
      <c r="Q39" s="20">
        <f>IFERROR(VLOOKUP($A39,Ronde2!$C$1:R$100,4,0),"")</f>
        <v>1</v>
      </c>
      <c r="R39" s="20">
        <f>IFERROR(VLOOKUP($A39,Ronde3!$C$1:S$100,4,0),"")</f>
        <v>0</v>
      </c>
      <c r="S39" s="20" t="str">
        <f>IFERROR(VLOOKUP($A39,Ronde4!$C$1:S$100,4,0),"")</f>
        <v/>
      </c>
      <c r="U39" s="20">
        <f t="shared" si="1"/>
        <v>1</v>
      </c>
      <c r="W39" s="20">
        <v>9</v>
      </c>
    </row>
    <row r="40" spans="1:23">
      <c r="A40" s="198" t="str">
        <f>AanwezigReserve!D40</f>
        <v>Roger Schietse</v>
      </c>
      <c r="B40" s="198" t="str">
        <f>VLOOKUP(A40,AanwezigReserve!D:F,3,0)</f>
        <v>A</v>
      </c>
      <c r="C40" s="20" t="str">
        <f>IFERROR(VLOOKUP($A40,Ronde1!$C$1:E$100,3,0),"")</f>
        <v/>
      </c>
      <c r="D40" s="20" t="str">
        <f>IFERROR(VLOOKUP($A40,Ronde2!$C$1:$E$100,3,0),"")</f>
        <v/>
      </c>
      <c r="E40" s="20" t="str">
        <f>IFERROR(VLOOKUP($A40,Ronde3!$C$1:$E$100,3,0),"")</f>
        <v/>
      </c>
      <c r="F40" s="20" t="str">
        <f>IFERROR(VLOOKUP($A40,Ronde4!$C$1:$E$100,3,0),"")</f>
        <v/>
      </c>
      <c r="G40" s="20">
        <f t="shared" si="0"/>
        <v>0</v>
      </c>
      <c r="H40" s="87"/>
      <c r="N40" s="198"/>
      <c r="P40" s="20" t="str">
        <f>IFERROR(VLOOKUP($A40,Ronde1!$C$1:Q$100,4,0),"")</f>
        <v/>
      </c>
      <c r="Q40" s="20" t="str">
        <f>IFERROR(VLOOKUP($A40,Ronde2!$C$1:R$100,4,0),"")</f>
        <v/>
      </c>
      <c r="R40" s="20" t="str">
        <f>IFERROR(VLOOKUP($A40,Ronde3!$C$1:S$100,4,0),"")</f>
        <v/>
      </c>
      <c r="S40" s="20" t="str">
        <f>IFERROR(VLOOKUP($A40,Ronde4!$C$1:S$100,4,0),"")</f>
        <v/>
      </c>
      <c r="U40" s="20">
        <f t="shared" si="1"/>
        <v>0</v>
      </c>
      <c r="W40" s="20">
        <v>2</v>
      </c>
    </row>
    <row r="41" spans="1:23">
      <c r="A41" s="198" t="str">
        <f>AanwezigReserve!D41</f>
        <v>Roger Van Peteghem</v>
      </c>
      <c r="B41" s="198">
        <f>VLOOKUP(A41,AanwezigReserve!D:F,3,0)</f>
        <v>3</v>
      </c>
      <c r="C41" s="20">
        <f>IFERROR(VLOOKUP($A41,Ronde1!$C$1:E$100,3,0),"")</f>
        <v>3</v>
      </c>
      <c r="D41" s="20">
        <f>IFERROR(VLOOKUP($A41,Ronde2!$C$1:$E$100,3,0),"")</f>
        <v>1</v>
      </c>
      <c r="E41" s="20">
        <f>IFERROR(VLOOKUP($A41,Ronde3!$C$1:$E$100,3,0),"")</f>
        <v>10</v>
      </c>
      <c r="F41" s="20" t="str">
        <f>IFERROR(VLOOKUP($A41,Ronde4!$C$1:$E$100,3,0),"")</f>
        <v/>
      </c>
      <c r="G41" s="20">
        <f t="shared" si="0"/>
        <v>3</v>
      </c>
      <c r="H41" s="87"/>
      <c r="N41" s="198"/>
      <c r="P41" s="20">
        <f>IFERROR(VLOOKUP($A41,Ronde1!$C$1:Q$100,4,0),"")</f>
        <v>0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0</v>
      </c>
      <c r="W41" s="20">
        <v>6</v>
      </c>
    </row>
    <row r="42" spans="1:23">
      <c r="A42" s="198" t="str">
        <f>AanwezigReserve!D42</f>
        <v>Rosane Biasino</v>
      </c>
      <c r="B42" s="198">
        <f>VLOOKUP(A42,AanwezigReserve!D:F,3,0)</f>
        <v>4</v>
      </c>
      <c r="C42" s="20">
        <f>IFERROR(VLOOKUP($A42,Ronde1!$C$1:E$100,3,0),"")</f>
        <v>6</v>
      </c>
      <c r="D42" s="20">
        <f>IFERROR(VLOOKUP($A42,Ronde2!$C$1:$E$100,3,0),"")</f>
        <v>1</v>
      </c>
      <c r="E42" s="20">
        <f>IFERROR(VLOOKUP($A42,Ronde3!$C$1:$E$100,3,0),"")</f>
        <v>6</v>
      </c>
      <c r="F42" s="20">
        <f>IFERROR(VLOOKUP($A42,Ronde4!$C$1:$E$100,3,0),"")</f>
        <v>1</v>
      </c>
      <c r="G42" s="20">
        <f t="shared" si="0"/>
        <v>4</v>
      </c>
      <c r="H42" s="87"/>
      <c r="N42" s="198"/>
      <c r="P42" s="20">
        <f>IFERROR(VLOOKUP($A42,Ronde1!$C$1:Q$100,4,0),"")</f>
        <v>0</v>
      </c>
      <c r="Q42" s="20">
        <f>IFERROR(VLOOKUP($A42,Ronde2!$C$1:R$100,4,0),"")</f>
        <v>0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0</v>
      </c>
      <c r="W42" s="20">
        <v>5</v>
      </c>
    </row>
    <row r="43" spans="1:23">
      <c r="A43" s="198" t="str">
        <f>AanwezigReserve!D43</f>
        <v>Simonne Pauwels</v>
      </c>
      <c r="B43" s="198">
        <f>VLOOKUP(A43,AanwezigReserve!D:F,3,0)</f>
        <v>3</v>
      </c>
      <c r="C43" s="20">
        <f>IFERROR(VLOOKUP($A43,Ronde1!$C$1:E$100,3,0),"")</f>
        <v>3</v>
      </c>
      <c r="D43" s="20">
        <f>IFERROR(VLOOKUP($A43,Ronde2!$C$1:$E$100,3,0),"")</f>
        <v>10</v>
      </c>
      <c r="E43" s="20">
        <f>IFERROR(VLOOKUP($A43,Ronde3!$C$1:$E$100,3,0),"")</f>
        <v>1</v>
      </c>
      <c r="F43" s="20" t="str">
        <f>IFERROR(VLOOKUP($A43,Ronde4!$C$1:$E$100,3,0),"")</f>
        <v/>
      </c>
      <c r="G43" s="20">
        <f t="shared" si="0"/>
        <v>3</v>
      </c>
      <c r="H43" s="87"/>
      <c r="N43" s="198"/>
      <c r="P43" s="20">
        <f>IFERROR(VLOOKUP($A43,Ronde1!$C$1:Q$100,4,0),"")</f>
        <v>0</v>
      </c>
      <c r="Q43" s="20">
        <f>IFERROR(VLOOKUP($A43,Ronde2!$C$1:R$100,4,0),"")</f>
        <v>0</v>
      </c>
      <c r="R43" s="20">
        <f>IFERROR(VLOOKUP($A43,Ronde3!$C$1:S$100,4,0),"")</f>
        <v>0</v>
      </c>
      <c r="S43" s="20" t="str">
        <f>IFERROR(VLOOKUP($A43,Ronde4!$C$1:S$100,4,0),"")</f>
        <v/>
      </c>
      <c r="U43" s="20">
        <f t="shared" si="1"/>
        <v>0</v>
      </c>
      <c r="W43" s="20">
        <v>0</v>
      </c>
    </row>
    <row r="44" spans="1:23">
      <c r="A44" s="198" t="str">
        <f>AanwezigReserve!D44</f>
        <v>Stan Astaes</v>
      </c>
      <c r="B44" s="198">
        <f>VLOOKUP(A44,AanwezigReserve!D:F,3,0)</f>
        <v>3</v>
      </c>
      <c r="C44" s="20">
        <f>IFERROR(VLOOKUP($A44,Ronde1!$C$1:E$100,3,0),"")</f>
        <v>3</v>
      </c>
      <c r="D44" s="87">
        <f>IFERROR(VLOOKUP($A44,Ronde2!$C$1:$E$100,3,0),"")</f>
        <v>3</v>
      </c>
      <c r="E44" s="20">
        <f>IFERROR(VLOOKUP($A44,Ronde3!$C$1:$E$100,3,0),"")</f>
        <v>3</v>
      </c>
      <c r="F44" s="20" t="str">
        <f>IFERROR(VLOOKUP($A44,Ronde4!$C$1:$E$100,3,0),"")</f>
        <v/>
      </c>
      <c r="G44" s="20">
        <f t="shared" si="0"/>
        <v>3</v>
      </c>
      <c r="H44" s="87"/>
      <c r="N44" s="198"/>
      <c r="P44" s="20">
        <f>IFERROR(VLOOKUP($A44,Ronde1!$C$1:Q$100,4,0),"")</f>
        <v>2</v>
      </c>
      <c r="Q44" s="20">
        <f>IFERROR(VLOOKUP($A44,Ronde2!$C$1:R$100,4,0),"")</f>
        <v>3</v>
      </c>
      <c r="R44" s="20">
        <f>IFERROR(VLOOKUP($A44,Ronde3!$C$1:S$100,4,0),"")</f>
        <v>0</v>
      </c>
      <c r="S44" s="20" t="str">
        <f>IFERROR(VLOOKUP($A44,Ronde4!$C$1:S$100,4,0),"")</f>
        <v/>
      </c>
      <c r="U44" s="20">
        <f t="shared" si="1"/>
        <v>5</v>
      </c>
      <c r="W44" s="20">
        <v>11</v>
      </c>
    </row>
    <row r="45" spans="1:23">
      <c r="A45" s="198" t="str">
        <f>AanwezigReserve!D45</f>
        <v>Suzanne Muijters</v>
      </c>
      <c r="B45" s="198">
        <f>VLOOKUP(A45,AanwezigReserve!D:F,3,0)</f>
        <v>3</v>
      </c>
      <c r="C45" s="20">
        <f>IFERROR(VLOOKUP($A45,Ronde1!$C$1:E$100,3,0),"")</f>
        <v>3</v>
      </c>
      <c r="D45" s="20">
        <f>IFERROR(VLOOKUP($A45,Ronde2!$C$1:$E$100,3,0),"")</f>
        <v>6</v>
      </c>
      <c r="E45" s="20">
        <f>IFERROR(VLOOKUP($A45,Ronde3!$C$1:$E$100,3,0),"")</f>
        <v>10</v>
      </c>
      <c r="F45" s="20" t="str">
        <f>IFERROR(VLOOKUP($A45,Ronde4!$C$1:$E$100,3,0),"")</f>
        <v/>
      </c>
      <c r="G45" s="20">
        <f t="shared" si="0"/>
        <v>3</v>
      </c>
      <c r="H45" s="87"/>
      <c r="N45" s="198"/>
      <c r="P45" s="20">
        <f>IFERROR(VLOOKUP($A45,Ronde1!$C$1:Q$100,4,0),"")</f>
        <v>4</v>
      </c>
      <c r="Q45" s="20">
        <f>IFERROR(VLOOKUP($A45,Ronde2!$C$1:R$100,4,0),"")</f>
        <v>0</v>
      </c>
      <c r="R45" s="20">
        <f>IFERROR(VLOOKUP($A45,Ronde3!$C$1:S$100,4,0),"")</f>
        <v>1</v>
      </c>
      <c r="S45" s="20" t="str">
        <f>IFERROR(VLOOKUP($A45,Ronde4!$C$1:S$100,4,0),"")</f>
        <v/>
      </c>
      <c r="U45" s="20">
        <f t="shared" si="1"/>
        <v>5</v>
      </c>
      <c r="W45" s="20">
        <v>0</v>
      </c>
    </row>
    <row r="46" spans="1:23">
      <c r="A46" s="198" t="str">
        <f>AanwezigReserve!D46</f>
        <v>Tony Criel</v>
      </c>
      <c r="B46" s="198">
        <f>VLOOKUP(A46,AanwezigReserve!D:F,3,0)</f>
        <v>4</v>
      </c>
      <c r="C46" s="20">
        <f>IFERROR(VLOOKUP($A46,Ronde1!$C$1:E$100,3,0),"")</f>
        <v>6</v>
      </c>
      <c r="D46" s="20">
        <f>IFERROR(VLOOKUP($A46,Ronde2!$C$1:$E$100,3,0),"")</f>
        <v>6</v>
      </c>
      <c r="E46" s="20">
        <f>IFERROR(VLOOKUP($A46,Ronde3!$C$1:$E$100,3,0),"")</f>
        <v>6</v>
      </c>
      <c r="F46" s="20">
        <f>IFERROR(VLOOKUP($A46,Ronde4!$C$1:$E$100,3,0),"")</f>
        <v>10</v>
      </c>
      <c r="G46" s="20">
        <f t="shared" si="0"/>
        <v>4</v>
      </c>
      <c r="H46" s="87"/>
      <c r="N46" s="198"/>
      <c r="P46" s="20">
        <f>IFERROR(VLOOKUP($A46,Ronde1!$C$1:Q$100,4,0),"")</f>
        <v>0</v>
      </c>
      <c r="Q46" s="20">
        <f>IFERROR(VLOOKUP($A46,Ronde2!$C$1:R$100,4,0),"")</f>
        <v>2</v>
      </c>
      <c r="R46" s="20">
        <f>IFERROR(VLOOKUP($A46,Ronde3!$C$1:S$100,4,0),"")</f>
        <v>2</v>
      </c>
      <c r="S46" s="20">
        <f>IFERROR(VLOOKUP($A46,Ronde4!$C$1:S$100,4,0),"")</f>
        <v>1</v>
      </c>
      <c r="U46" s="20">
        <f t="shared" si="1"/>
        <v>5</v>
      </c>
      <c r="W46" s="20">
        <v>8</v>
      </c>
    </row>
    <row r="47" spans="1:23">
      <c r="A47" s="198" t="str">
        <f>AanwezigReserve!D47</f>
        <v>Walter Saveyn</v>
      </c>
      <c r="B47" s="198">
        <f>VLOOKUP(A47,AanwezigReserve!D:F,3,0)</f>
        <v>4</v>
      </c>
      <c r="C47" s="20">
        <f>IFERROR(VLOOKUP($A47,Ronde1!$C$1:E$100,3,0),"")</f>
        <v>6</v>
      </c>
      <c r="D47" s="20">
        <f>IFERROR(VLOOKUP($A47,Ronde2!$C$1:$E$100,3,0),"")</f>
        <v>6</v>
      </c>
      <c r="E47" s="20">
        <f>IFERROR(VLOOKUP($A47,Ronde3!$C$1:$E$100,3,0),"")</f>
        <v>3</v>
      </c>
      <c r="F47" s="20">
        <f>IFERROR(VLOOKUP($A47,Ronde4!$C$1:$E$100,3,0),"")</f>
        <v>6</v>
      </c>
      <c r="G47" s="20">
        <f t="shared" si="0"/>
        <v>4</v>
      </c>
      <c r="H47" s="87"/>
      <c r="N47" s="198"/>
      <c r="P47" s="20">
        <f>IFERROR(VLOOKUP($A47,Ronde1!$C$1:Q$100,4,0),"")</f>
        <v>2</v>
      </c>
      <c r="Q47" s="20">
        <f>IFERROR(VLOOKUP($A47,Ronde2!$C$1:R$100,4,0),"")</f>
        <v>3</v>
      </c>
      <c r="R47" s="20">
        <f>IFERROR(VLOOKUP($A47,Ronde3!$C$1:S$100,4,0),"")</f>
        <v>0</v>
      </c>
      <c r="S47" s="20">
        <f>IFERROR(VLOOKUP($A47,Ronde4!$C$1:S$100,4,0),"")</f>
        <v>0</v>
      </c>
      <c r="U47" s="20">
        <f t="shared" si="1"/>
        <v>5</v>
      </c>
      <c r="W47" s="20">
        <v>4</v>
      </c>
    </row>
    <row r="48" spans="1:23">
      <c r="A48" s="198" t="str">
        <f>AanwezigReserve!D48</f>
        <v>Willy Duwyn</v>
      </c>
      <c r="B48" s="198">
        <f>VLOOKUP(A48,AanwezigReserve!D:F,3,0)</f>
        <v>3</v>
      </c>
      <c r="C48" s="20">
        <f>IFERROR(VLOOKUP($A48,Ronde1!$C$1:E$100,3,0),"")</f>
        <v>1</v>
      </c>
      <c r="D48" s="20">
        <f>IFERROR(VLOOKUP($A48,Ronde2!$C$1:$E$100,3,0),"")</f>
        <v>6</v>
      </c>
      <c r="E48" s="20">
        <f>IFERROR(VLOOKUP($A48,Ronde3!$C$1:$E$100,3,0),"")</f>
        <v>10</v>
      </c>
      <c r="F48" s="20" t="str">
        <f>IFERROR(VLOOKUP($A48,Ronde4!$C$1:$E$100,3,0),"")</f>
        <v/>
      </c>
      <c r="G48" s="20">
        <f t="shared" si="0"/>
        <v>3</v>
      </c>
      <c r="H48" s="87"/>
      <c r="N48" s="198"/>
      <c r="P48" s="20">
        <f>IFERROR(VLOOKUP($A48,Ronde1!$C$1:Q$100,4,0),"")</f>
        <v>6</v>
      </c>
      <c r="Q48" s="20">
        <f>IFERROR(VLOOKUP($A48,Ronde2!$C$1:R$100,4,0),"")</f>
        <v>0</v>
      </c>
      <c r="R48" s="20">
        <f>IFERROR(VLOOKUP($A48,Ronde3!$C$1:S$100,4,0),"")</f>
        <v>2</v>
      </c>
      <c r="S48" s="20" t="str">
        <f>IFERROR(VLOOKUP($A48,Ronde4!$C$1:S$100,4,0),"")</f>
        <v/>
      </c>
      <c r="U48" s="20">
        <f t="shared" si="1"/>
        <v>8</v>
      </c>
      <c r="W48" s="20">
        <v>0</v>
      </c>
    </row>
    <row r="49" spans="1:23">
      <c r="A49" s="198" t="str">
        <f>AanwezigReserve!D49</f>
        <v>Wim Van Peteghem</v>
      </c>
      <c r="B49" s="198">
        <f>VLOOKUP(A49,AanwezigReserve!D:F,3,0)</f>
        <v>3</v>
      </c>
      <c r="C49" s="20">
        <f>IFERROR(VLOOKUP($A49,Ronde1!$C$1:E$100,3,0),"")</f>
        <v>10</v>
      </c>
      <c r="D49" s="87">
        <f>IFERROR(VLOOKUP($A49,Ronde2!$C$1:$E$100,3,0),"")</f>
        <v>3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7"/>
      <c r="N49" s="198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98" t="str">
        <f>AanwezigReserve!D50</f>
        <v xml:space="preserve">ZZAnnie </v>
      </c>
      <c r="B50" s="198" t="str">
        <f>VLOOKUP(A50,AanwezigReserve!D:F,3,0)</f>
        <v>A</v>
      </c>
      <c r="C50" s="20" t="str">
        <f>IFERROR(VLOOKUP($A50,Ronde1!$C$1:E$100,3,0),"")</f>
        <v/>
      </c>
      <c r="D50" s="87" t="str">
        <f>IFERROR(VLOOKUP($A50,Ronde2!$C$1:$E$100,3,0),"")</f>
        <v/>
      </c>
      <c r="E50" s="20" t="str">
        <f>IFERROR(VLOOKUP($A50,Ronde3!$C$1:$E$100,3,0),"")</f>
        <v/>
      </c>
      <c r="F50" s="20" t="str">
        <f>IFERROR(VLOOKUP($A50,Ronde4!$C$1:$E$100,3,0),"")</f>
        <v/>
      </c>
      <c r="G50" s="20">
        <f t="shared" si="0"/>
        <v>0</v>
      </c>
      <c r="H50" s="87"/>
      <c r="N50" s="198"/>
      <c r="P50" s="20" t="str">
        <f>IFERROR(VLOOKUP($A50,Ronde1!$C$1:Q$100,4,0),"")</f>
        <v/>
      </c>
      <c r="Q50" s="20" t="str">
        <f>IFERROR(VLOOKUP($A50,Ronde2!$C$1:R$100,4,0),"")</f>
        <v/>
      </c>
      <c r="R50" s="20" t="str">
        <f>IFERROR(VLOOKUP($A50,Ronde3!$C$1:S$100,4,0),"")</f>
        <v/>
      </c>
      <c r="S50" s="20" t="str">
        <f>IFERROR(VLOOKUP($A50,Ronde4!$C$1:S$100,4,0),"")</f>
        <v/>
      </c>
      <c r="U50" s="20">
        <f t="shared" si="1"/>
        <v>0</v>
      </c>
      <c r="W50" s="20">
        <v>0</v>
      </c>
    </row>
    <row r="51" spans="1:23">
      <c r="A51" s="198" t="str">
        <f>AanwezigReserve!D51</f>
        <v xml:space="preserve"> </v>
      </c>
      <c r="C51" s="20" t="str">
        <f>IFERROR(VLOOKUP($A51,Ronde1!$C$1:E$100,3,0),"")</f>
        <v/>
      </c>
      <c r="D51" s="87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7"/>
      <c r="N51" s="198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98" t="str">
        <f>AanwezigReserve!D52</f>
        <v xml:space="preserve"> </v>
      </c>
      <c r="C52" s="20" t="str">
        <f>IFERROR(VLOOKUP($A52,Ronde1!$C$1:E$100,3,0),"")</f>
        <v/>
      </c>
      <c r="D52" s="87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 t="shared" si="0"/>
        <v>0</v>
      </c>
      <c r="H52" s="87"/>
      <c r="N52" s="198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98">
        <f>AanwezigReserve!D53</f>
        <v>0</v>
      </c>
      <c r="C53" s="20" t="str">
        <f>IFERROR(VLOOKUP($A53,Ronde1!$C$1:E$100,3,0),"")</f>
        <v/>
      </c>
      <c r="D53" s="87" t="str">
        <f>IFERROR(VLOOKUP($A53,Ronde2!$C$1:$E$100,3,0),"")</f>
        <v/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0</v>
      </c>
      <c r="H53" s="87"/>
      <c r="N53" s="198"/>
      <c r="P53" s="20" t="str">
        <f>IFERROR(VLOOKUP($A53,Ronde1!$C$1:Q$100,4,0),"")</f>
        <v/>
      </c>
      <c r="Q53" s="20" t="str">
        <f>IFERROR(VLOOKUP($A53,Ronde2!$C$1:R$100,4,0),"")</f>
        <v/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0</v>
      </c>
      <c r="W53" s="20">
        <v>0</v>
      </c>
    </row>
    <row r="54" spans="1:23"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U55" s="20">
        <f>SUM(U3:U49)</f>
        <v>136</v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E60DF-FC39-418F-9DC8-5169328FE163}">
  <sheetPr codeName="Blad11"/>
  <dimension ref="B1:AC883"/>
  <sheetViews>
    <sheetView topLeftCell="A16" workbookViewId="0">
      <selection activeCell="Q8" sqref="Q8"/>
    </sheetView>
  </sheetViews>
  <sheetFormatPr defaultColWidth="9.140625" defaultRowHeight="14.1" customHeight="1"/>
  <cols>
    <col min="1" max="1" width="4.42578125" style="153" customWidth="1"/>
    <col min="2" max="2" width="22.7109375" style="153" customWidth="1"/>
    <col min="3" max="3" width="3.7109375" style="156" bestFit="1" customWidth="1"/>
    <col min="4" max="13" width="4.42578125" style="153" customWidth="1"/>
    <col min="14" max="19" width="9.140625" style="153"/>
    <col min="20" max="20" width="9.140625" customWidth="1"/>
    <col min="30" max="16384" width="9.140625" style="153"/>
  </cols>
  <sheetData>
    <row r="1" spans="2:13" ht="14.1" customHeight="1">
      <c r="C1" s="161"/>
      <c r="D1" s="161" t="s">
        <v>114</v>
      </c>
      <c r="E1" s="161"/>
      <c r="F1" s="161"/>
      <c r="G1" s="161"/>
      <c r="H1" s="161"/>
      <c r="I1" s="218"/>
      <c r="J1" s="218"/>
      <c r="K1" s="161"/>
      <c r="L1" s="161"/>
      <c r="M1" s="161"/>
    </row>
    <row r="2" spans="2:13" ht="14.1" customHeight="1">
      <c r="C2" s="161" t="s">
        <v>7</v>
      </c>
      <c r="D2" s="162" t="s">
        <v>104</v>
      </c>
      <c r="E2" s="162" t="s">
        <v>105</v>
      </c>
      <c r="F2" s="162" t="s">
        <v>106</v>
      </c>
      <c r="G2" s="162" t="s">
        <v>107</v>
      </c>
      <c r="H2" s="162" t="s">
        <v>108</v>
      </c>
      <c r="I2" s="162" t="s">
        <v>109</v>
      </c>
      <c r="J2" s="162" t="s">
        <v>110</v>
      </c>
      <c r="K2" s="162" t="s">
        <v>111</v>
      </c>
      <c r="L2" s="162" t="s">
        <v>112</v>
      </c>
      <c r="M2" s="162" t="s">
        <v>113</v>
      </c>
    </row>
    <row r="3" spans="2:13" ht="14.1" customHeight="1">
      <c r="B3" s="154" t="str">
        <f>AanwezigReserve!D3</f>
        <v>Brigitte Raeymaekers</v>
      </c>
      <c r="C3" s="161">
        <f>COUNTIF(D3:T3,"R")</f>
        <v>0</v>
      </c>
      <c r="D3" s="262"/>
      <c r="E3" s="262"/>
      <c r="F3" s="262"/>
      <c r="G3" s="262"/>
      <c r="H3" s="262"/>
      <c r="I3" s="262"/>
      <c r="J3" s="262"/>
      <c r="K3" s="262"/>
      <c r="L3" s="262"/>
      <c r="M3" s="262"/>
    </row>
    <row r="4" spans="2:13" ht="14.1" customHeight="1">
      <c r="B4" s="154" t="str">
        <f>AanwezigReserve!D4</f>
        <v>Chris Cuppens</v>
      </c>
      <c r="C4" s="161">
        <f>COUNTIF(D4:T4,"R")</f>
        <v>0</v>
      </c>
      <c r="D4" s="262"/>
      <c r="E4" s="262"/>
      <c r="F4" s="262"/>
      <c r="G4" s="262"/>
      <c r="H4" s="262"/>
      <c r="I4" s="262"/>
      <c r="J4" s="262"/>
      <c r="K4" s="262"/>
      <c r="L4" s="262"/>
      <c r="M4" s="262"/>
    </row>
    <row r="5" spans="2:13" ht="14.1" customHeight="1">
      <c r="B5" s="154" t="str">
        <f>AanwezigReserve!D5</f>
        <v>Christiane De Maesschalck</v>
      </c>
      <c r="C5" s="161">
        <f>COUNTIF(D5:T5,"R")</f>
        <v>1</v>
      </c>
      <c r="D5" s="262" t="s">
        <v>190</v>
      </c>
      <c r="E5" s="262"/>
      <c r="F5" s="262"/>
      <c r="G5" s="262"/>
      <c r="H5" s="262"/>
      <c r="I5" s="262"/>
      <c r="J5" s="262"/>
      <c r="K5" s="262"/>
      <c r="L5" s="262"/>
      <c r="M5" s="262"/>
    </row>
    <row r="6" spans="2:13" ht="14.1" customHeight="1">
      <c r="B6" s="154" t="str">
        <f>AanwezigReserve!D6</f>
        <v>Daniel Bogaert</v>
      </c>
      <c r="C6" s="161">
        <f>COUNTIF(D6:S6,"R")</f>
        <v>0</v>
      </c>
      <c r="D6" s="262"/>
      <c r="E6" s="262"/>
      <c r="F6" s="262"/>
      <c r="G6" s="262"/>
      <c r="H6" s="262"/>
      <c r="I6" s="262"/>
      <c r="J6" s="262"/>
      <c r="K6" s="262"/>
      <c r="L6" s="262"/>
      <c r="M6" s="262"/>
    </row>
    <row r="7" spans="2:13" ht="14.1" customHeight="1">
      <c r="B7" s="154" t="str">
        <f>AanwezigReserve!D7</f>
        <v>Daniella Vanhalewyn</v>
      </c>
      <c r="C7" s="161">
        <f>COUNTIF(D7:S7,"R")</f>
        <v>0</v>
      </c>
      <c r="D7" s="262"/>
      <c r="E7" s="262"/>
      <c r="F7" s="262"/>
      <c r="G7" s="262"/>
      <c r="H7" s="262"/>
      <c r="I7" s="262"/>
      <c r="J7" s="262"/>
      <c r="K7" s="262"/>
      <c r="L7" s="262"/>
      <c r="M7" s="262"/>
    </row>
    <row r="8" spans="2:13" ht="14.1" customHeight="1">
      <c r="B8" s="154" t="str">
        <f>AanwezigReserve!D8</f>
        <v>Dirk De Brabander</v>
      </c>
      <c r="C8" s="161">
        <f>COUNTIF(D8:T8,"R")</f>
        <v>0</v>
      </c>
      <c r="D8" s="262"/>
      <c r="E8" s="262"/>
      <c r="F8" s="262"/>
      <c r="G8" s="262"/>
      <c r="H8" s="262"/>
      <c r="I8" s="262"/>
      <c r="J8" s="262"/>
      <c r="K8" s="262"/>
      <c r="L8" s="262"/>
      <c r="M8" s="262"/>
    </row>
    <row r="9" spans="2:13" ht="14.1" customHeight="1">
      <c r="B9" s="154" t="str">
        <f>AanwezigReserve!D9</f>
        <v>Dirk Desante</v>
      </c>
      <c r="C9" s="161">
        <f>COUNTIF(D9:T9,"R")</f>
        <v>0</v>
      </c>
      <c r="D9" s="262"/>
      <c r="E9" s="262"/>
      <c r="F9" s="262"/>
      <c r="G9" s="262"/>
      <c r="H9" s="262"/>
      <c r="I9" s="262"/>
      <c r="J9" s="262"/>
      <c r="K9" s="262"/>
      <c r="L9" s="262"/>
      <c r="M9" s="262"/>
    </row>
    <row r="10" spans="2:13" ht="14.1" customHeight="1">
      <c r="B10" s="154" t="str">
        <f>AanwezigReserve!D10</f>
        <v>Etienne Saveyn</v>
      </c>
      <c r="C10" s="161">
        <f>COUNTIF(D10:T10,"R")</f>
        <v>0</v>
      </c>
      <c r="D10" s="262"/>
      <c r="E10" s="262"/>
      <c r="F10" s="262"/>
      <c r="G10" s="262"/>
      <c r="H10" s="262"/>
      <c r="I10" s="262"/>
      <c r="J10" s="262"/>
      <c r="K10" s="262"/>
      <c r="L10" s="262"/>
      <c r="M10" s="262"/>
    </row>
    <row r="11" spans="2:13" ht="14.1" customHeight="1">
      <c r="B11" s="154" t="str">
        <f>AanwezigReserve!D11</f>
        <v>Filip Dejans</v>
      </c>
      <c r="C11" s="161">
        <f>COUNTIF(D11:S11,"R")</f>
        <v>0</v>
      </c>
      <c r="D11" s="262"/>
      <c r="E11" s="262"/>
      <c r="F11" s="262"/>
      <c r="G11" s="262"/>
      <c r="H11" s="262"/>
      <c r="I11" s="262"/>
      <c r="J11" s="262"/>
      <c r="K11" s="262"/>
      <c r="L11" s="262"/>
      <c r="M11" s="262"/>
    </row>
    <row r="12" spans="2:13" ht="14.1" customHeight="1">
      <c r="B12" s="154" t="str">
        <f>AanwezigReserve!D12</f>
        <v>Francine Thienpont</v>
      </c>
      <c r="C12" s="161">
        <f>COUNTIF(D12:T12,"R")</f>
        <v>0</v>
      </c>
      <c r="D12" s="262"/>
      <c r="E12" s="262"/>
      <c r="F12" s="262"/>
      <c r="G12" s="262"/>
      <c r="H12" s="262"/>
      <c r="I12" s="262"/>
      <c r="J12" s="262"/>
      <c r="K12" s="262"/>
      <c r="L12" s="262"/>
      <c r="M12" s="262"/>
    </row>
    <row r="13" spans="2:13" ht="14.1" customHeight="1">
      <c r="B13" s="154" t="str">
        <f>AanwezigReserve!D13</f>
        <v>Frans Catteeuw</v>
      </c>
      <c r="C13" s="161">
        <f>COUNTIF(D13:T13,"R")</f>
        <v>0</v>
      </c>
      <c r="D13" s="262"/>
      <c r="E13" s="262"/>
      <c r="F13" s="262"/>
      <c r="G13" s="262"/>
      <c r="H13" s="262"/>
      <c r="I13" s="262"/>
      <c r="J13" s="262"/>
      <c r="K13" s="262"/>
      <c r="L13" s="262"/>
      <c r="M13" s="262"/>
    </row>
    <row r="14" spans="2:13" ht="14.1" customHeight="1">
      <c r="B14" s="154" t="str">
        <f>AanwezigReserve!D14</f>
        <v>Freddy Moerman</v>
      </c>
      <c r="C14" s="161">
        <f>COUNTIF(D14:T14,"R")</f>
        <v>0</v>
      </c>
      <c r="D14" s="262"/>
      <c r="E14" s="262"/>
      <c r="F14" s="262"/>
      <c r="G14" s="262"/>
      <c r="H14" s="262"/>
      <c r="I14" s="262"/>
      <c r="J14" s="262"/>
      <c r="K14" s="262"/>
      <c r="L14" s="262"/>
      <c r="M14" s="262"/>
    </row>
    <row r="15" spans="2:13" ht="14.1" customHeight="1">
      <c r="B15" s="154" t="str">
        <f>AanwezigReserve!D15</f>
        <v>Georges Tollenaere</v>
      </c>
      <c r="C15" s="161">
        <f>COUNTIF(D15:T15,"R")</f>
        <v>0</v>
      </c>
      <c r="D15" s="262"/>
      <c r="E15" s="262"/>
      <c r="F15" s="262"/>
      <c r="G15" s="262"/>
      <c r="H15" s="262"/>
      <c r="I15" s="262"/>
      <c r="J15" s="262"/>
      <c r="K15" s="262"/>
      <c r="L15" s="262"/>
      <c r="M15" s="262"/>
    </row>
    <row r="16" spans="2:13" ht="14.1" customHeight="1">
      <c r="B16" s="154" t="str">
        <f>AanwezigReserve!D16</f>
        <v>Gina Van Den Bossche</v>
      </c>
      <c r="C16" s="161">
        <f>COUNTIF(D16:S16,"R")</f>
        <v>1</v>
      </c>
      <c r="D16" s="262" t="s">
        <v>190</v>
      </c>
      <c r="E16" s="262"/>
      <c r="F16" s="262"/>
      <c r="G16" s="262"/>
      <c r="H16" s="262"/>
      <c r="I16" s="262"/>
      <c r="J16" s="262"/>
      <c r="K16" s="262"/>
      <c r="L16" s="262"/>
      <c r="M16" s="262"/>
    </row>
    <row r="17" spans="2:13" ht="14.1" customHeight="1">
      <c r="B17" s="154" t="str">
        <f>AanwezigReserve!D17</f>
        <v>Herman Buysse</v>
      </c>
      <c r="C17" s="161">
        <f>COUNTIF(D17:S17,"R")</f>
        <v>1</v>
      </c>
      <c r="D17" s="262" t="s">
        <v>190</v>
      </c>
      <c r="E17" s="262"/>
      <c r="F17" s="262"/>
      <c r="G17" s="262"/>
      <c r="H17" s="262"/>
      <c r="I17" s="262"/>
      <c r="J17" s="262"/>
      <c r="K17" s="262"/>
      <c r="L17" s="262"/>
      <c r="M17" s="262"/>
    </row>
    <row r="18" spans="2:13" ht="14.1" customHeight="1">
      <c r="B18" s="154" t="str">
        <f>AanwezigReserve!D18</f>
        <v>Hubert Verplaetse</v>
      </c>
      <c r="C18" s="161">
        <f>COUNTIF(D18:T18,"R")</f>
        <v>0</v>
      </c>
      <c r="D18" s="262"/>
      <c r="E18" s="262"/>
      <c r="F18" s="262"/>
      <c r="G18" s="262"/>
      <c r="H18" s="262"/>
      <c r="I18" s="262"/>
      <c r="J18" s="262"/>
      <c r="K18" s="262"/>
      <c r="L18" s="262"/>
      <c r="M18" s="262"/>
    </row>
    <row r="19" spans="2:13" ht="14.1" customHeight="1">
      <c r="B19" s="154" t="str">
        <f>AanwezigReserve!D19</f>
        <v>Ivan Scheir</v>
      </c>
      <c r="C19" s="161">
        <f>COUNTIF(D19:T19,"R")</f>
        <v>0</v>
      </c>
      <c r="D19" s="262"/>
      <c r="E19" s="262"/>
      <c r="F19" s="262"/>
      <c r="G19" s="262"/>
      <c r="H19" s="262"/>
      <c r="I19" s="262"/>
      <c r="J19" s="262"/>
      <c r="K19" s="262"/>
      <c r="L19" s="262"/>
      <c r="M19" s="262"/>
    </row>
    <row r="20" spans="2:13" ht="14.1" customHeight="1">
      <c r="B20" s="154" t="str">
        <f>AanwezigReserve!D20</f>
        <v>Jacqueline Geubels</v>
      </c>
      <c r="C20" s="161">
        <f>COUNTIF(D20:S20,"R")</f>
        <v>0</v>
      </c>
      <c r="D20" s="262"/>
      <c r="E20" s="262"/>
      <c r="F20" s="262"/>
      <c r="G20" s="262"/>
      <c r="H20" s="262"/>
      <c r="I20" s="262"/>
      <c r="J20" s="262"/>
      <c r="K20" s="262"/>
      <c r="L20" s="262"/>
      <c r="M20" s="262"/>
    </row>
    <row r="21" spans="2:13" ht="14.1" customHeight="1">
      <c r="B21" s="154" t="str">
        <f>AanwezigReserve!D21</f>
        <v>Jacques De Meester</v>
      </c>
      <c r="C21" s="161">
        <f>COUNTIF(D21:S21,"R")</f>
        <v>0</v>
      </c>
      <c r="D21" s="262"/>
      <c r="E21" s="262"/>
      <c r="F21" s="262"/>
      <c r="G21" s="262"/>
      <c r="H21" s="262"/>
      <c r="I21" s="262"/>
      <c r="J21" s="262"/>
      <c r="K21" s="262"/>
      <c r="L21" s="262"/>
      <c r="M21" s="262"/>
    </row>
    <row r="22" spans="2:13" ht="14.1" customHeight="1">
      <c r="B22" s="154" t="str">
        <f>AanwezigReserve!D22</f>
        <v>JeanM. Van Veirdeghem</v>
      </c>
      <c r="C22" s="161">
        <f>COUNTIF(D22:S22,"R")</f>
        <v>0</v>
      </c>
      <c r="D22" s="262"/>
      <c r="E22" s="262"/>
      <c r="F22" s="262"/>
      <c r="G22" s="262"/>
      <c r="H22" s="262"/>
      <c r="I22" s="262"/>
      <c r="J22" s="262"/>
      <c r="K22" s="262"/>
      <c r="L22" s="262"/>
      <c r="M22" s="262"/>
    </row>
    <row r="23" spans="2:13" ht="14.1" customHeight="1">
      <c r="B23" s="154" t="str">
        <f>AanwezigReserve!D23</f>
        <v>Johan Saey</v>
      </c>
      <c r="C23" s="161">
        <f t="shared" ref="C23:C28" si="0">COUNTIF(D23:T23,"R")</f>
        <v>0</v>
      </c>
      <c r="D23" s="262"/>
      <c r="E23" s="262"/>
      <c r="F23" s="262"/>
      <c r="G23" s="262"/>
      <c r="H23" s="262"/>
      <c r="I23" s="262"/>
      <c r="J23" s="262"/>
      <c r="K23" s="262"/>
      <c r="L23" s="262"/>
      <c r="M23" s="262"/>
    </row>
    <row r="24" spans="2:13" ht="14.1" customHeight="1">
      <c r="B24" s="154" t="str">
        <f>AanwezigReserve!D24</f>
        <v>Jozef Van Landeghem</v>
      </c>
      <c r="C24" s="161">
        <f t="shared" si="0"/>
        <v>0</v>
      </c>
      <c r="D24" s="262"/>
      <c r="E24" s="262"/>
      <c r="F24" s="262"/>
      <c r="G24" s="262"/>
      <c r="H24" s="262"/>
      <c r="I24" s="262"/>
      <c r="J24" s="262"/>
      <c r="K24" s="262"/>
      <c r="L24" s="262"/>
      <c r="M24" s="262"/>
    </row>
    <row r="25" spans="2:13" ht="14.1" customHeight="1">
      <c r="B25" s="154" t="str">
        <f>AanwezigReserve!D25</f>
        <v>Julien Herrebaut</v>
      </c>
      <c r="C25" s="161">
        <f t="shared" si="0"/>
        <v>0</v>
      </c>
      <c r="D25" s="262"/>
      <c r="E25" s="262"/>
      <c r="F25" s="262"/>
      <c r="G25" s="262"/>
      <c r="H25" s="262"/>
      <c r="I25" s="262"/>
      <c r="J25" s="262"/>
      <c r="K25" s="262"/>
      <c r="L25" s="262"/>
      <c r="M25" s="262"/>
    </row>
    <row r="26" spans="2:13" ht="14.1" customHeight="1">
      <c r="B26" s="154" t="str">
        <f>AanwezigReserve!D26</f>
        <v>Lucien Van Peteghem</v>
      </c>
      <c r="C26" s="161">
        <f t="shared" si="0"/>
        <v>0</v>
      </c>
      <c r="D26" s="262"/>
      <c r="E26" s="262"/>
      <c r="F26" s="262"/>
      <c r="G26" s="262"/>
      <c r="H26" s="262"/>
      <c r="I26" s="262"/>
      <c r="J26" s="262"/>
      <c r="K26" s="262"/>
      <c r="L26" s="262"/>
      <c r="M26" s="262"/>
    </row>
    <row r="27" spans="2:13" ht="14.1" customHeight="1">
      <c r="B27" s="154" t="str">
        <f>AanwezigReserve!D27</f>
        <v>Lutgarde Vanderhaegen</v>
      </c>
      <c r="C27" s="161">
        <f t="shared" si="0"/>
        <v>0</v>
      </c>
      <c r="D27" s="262"/>
      <c r="E27" s="262"/>
      <c r="F27" s="262"/>
      <c r="G27" s="262"/>
      <c r="H27" s="262"/>
      <c r="I27" s="262"/>
      <c r="J27" s="262"/>
      <c r="K27" s="262"/>
      <c r="L27" s="262"/>
      <c r="M27" s="262"/>
    </row>
    <row r="28" spans="2:13" ht="14.1" customHeight="1">
      <c r="B28" s="154" t="str">
        <f>AanwezigReserve!D28</f>
        <v>Lydie Ysveld</v>
      </c>
      <c r="C28" s="161">
        <f t="shared" si="0"/>
        <v>0</v>
      </c>
      <c r="D28" s="262"/>
      <c r="E28" s="262"/>
      <c r="F28" s="262"/>
      <c r="G28" s="262"/>
      <c r="H28" s="262"/>
      <c r="I28" s="262"/>
      <c r="J28" s="262"/>
      <c r="K28" s="262"/>
      <c r="L28" s="262"/>
      <c r="M28" s="262"/>
    </row>
    <row r="29" spans="2:13" ht="14.1" customHeight="1">
      <c r="B29" s="154" t="str">
        <f>AanwezigReserve!D29</f>
        <v>Marc Ediers</v>
      </c>
      <c r="C29" s="161">
        <f>COUNTIF(D29:S29,"R")</f>
        <v>1</v>
      </c>
      <c r="D29" s="262" t="s">
        <v>190</v>
      </c>
      <c r="E29" s="262"/>
      <c r="F29" s="262"/>
      <c r="G29" s="262"/>
      <c r="H29" s="262"/>
      <c r="I29" s="262"/>
      <c r="J29" s="262"/>
      <c r="K29" s="262"/>
      <c r="L29" s="262"/>
      <c r="M29" s="262"/>
    </row>
    <row r="30" spans="2:13" ht="14.1" customHeight="1">
      <c r="B30" s="154" t="str">
        <f>AanwezigReserve!D30</f>
        <v>Marguerite Van Hende</v>
      </c>
      <c r="C30" s="161">
        <f>COUNTIF(D30:S30,"R")</f>
        <v>0</v>
      </c>
      <c r="D30" s="262"/>
      <c r="E30" s="262"/>
      <c r="F30" s="262"/>
      <c r="G30" s="262"/>
      <c r="H30" s="262"/>
      <c r="I30" s="262"/>
      <c r="J30" s="262"/>
      <c r="K30" s="262"/>
      <c r="L30" s="262"/>
      <c r="M30" s="262"/>
    </row>
    <row r="31" spans="2:13" ht="14.1" customHeight="1">
      <c r="B31" s="154" t="str">
        <f>AanwezigReserve!D31</f>
        <v>Marleen Denert</v>
      </c>
      <c r="C31" s="161">
        <f>COUNTIF(D31:S31,"R")</f>
        <v>0</v>
      </c>
      <c r="D31" s="262"/>
      <c r="E31" s="262"/>
      <c r="F31" s="262"/>
      <c r="G31" s="262"/>
      <c r="H31" s="262"/>
      <c r="I31" s="262"/>
      <c r="J31" s="262"/>
      <c r="K31" s="262"/>
      <c r="L31" s="262"/>
      <c r="M31" s="262"/>
    </row>
    <row r="32" spans="2:13" ht="14.1" customHeight="1">
      <c r="B32" s="154" t="str">
        <f>AanwezigReserve!D32</f>
        <v>Michel Van Laere</v>
      </c>
      <c r="C32" s="161">
        <f>COUNTIF(D32:T32,"R")</f>
        <v>1</v>
      </c>
      <c r="D32" s="262" t="s">
        <v>190</v>
      </c>
      <c r="E32" s="262"/>
      <c r="F32" s="262"/>
      <c r="G32" s="262"/>
      <c r="H32" s="262"/>
      <c r="I32" s="262"/>
      <c r="J32" s="262"/>
      <c r="K32" s="262"/>
      <c r="L32" s="262"/>
      <c r="M32" s="262"/>
    </row>
    <row r="33" spans="2:13" ht="14.1" customHeight="1">
      <c r="B33" s="154" t="str">
        <f>AanwezigReserve!D33</f>
        <v>Nestor Meirte</v>
      </c>
      <c r="C33" s="161">
        <f>COUNTIF(D33:T33,"R")</f>
        <v>1</v>
      </c>
      <c r="D33" s="262" t="s">
        <v>190</v>
      </c>
      <c r="E33" s="262"/>
      <c r="F33" s="262"/>
      <c r="G33" s="262"/>
      <c r="H33" s="262"/>
      <c r="I33" s="262"/>
      <c r="J33" s="262"/>
      <c r="K33" s="262"/>
      <c r="L33" s="262"/>
      <c r="M33" s="262"/>
    </row>
    <row r="34" spans="2:13" ht="14.1" customHeight="1">
      <c r="B34" s="154" t="str">
        <f>AanwezigReserve!D34</f>
        <v>Patrick Geys</v>
      </c>
      <c r="C34" s="161">
        <f>COUNTIF(D34:T34,"R")</f>
        <v>0</v>
      </c>
      <c r="D34" s="262"/>
      <c r="E34" s="262"/>
      <c r="F34" s="262"/>
      <c r="G34" s="262"/>
      <c r="H34" s="262"/>
      <c r="I34" s="262"/>
      <c r="J34" s="262"/>
      <c r="K34" s="262"/>
      <c r="L34" s="262"/>
      <c r="M34" s="262"/>
    </row>
    <row r="35" spans="2:13" ht="14.1" customHeight="1">
      <c r="B35" s="154" t="str">
        <f>AanwezigReserve!D35</f>
        <v>Philippe Vergote</v>
      </c>
      <c r="C35" s="161">
        <f>COUNTIF(D35:T35,"R")</f>
        <v>0</v>
      </c>
      <c r="D35" s="262"/>
      <c r="E35" s="262"/>
      <c r="F35" s="262"/>
      <c r="G35" s="262"/>
      <c r="H35" s="262"/>
      <c r="I35" s="262"/>
      <c r="J35" s="262"/>
      <c r="K35" s="262"/>
      <c r="L35" s="262"/>
      <c r="M35" s="262"/>
    </row>
    <row r="36" spans="2:13" ht="14.1" customHeight="1">
      <c r="B36" s="154" t="str">
        <f>AanwezigReserve!D36</f>
        <v>Pol Callebert</v>
      </c>
      <c r="C36" s="161">
        <f>COUNTIF(D36:T36,"R")</f>
        <v>0</v>
      </c>
      <c r="D36" s="262"/>
      <c r="E36" s="262"/>
      <c r="F36" s="262"/>
      <c r="G36" s="262"/>
      <c r="H36" s="262"/>
      <c r="I36" s="262"/>
      <c r="J36" s="262"/>
      <c r="K36" s="262"/>
      <c r="L36" s="262"/>
      <c r="M36" s="262"/>
    </row>
    <row r="37" spans="2:13" ht="14.1" customHeight="1">
      <c r="B37" s="154" t="str">
        <f>AanwezigReserve!D37</f>
        <v>Regina De Pauw</v>
      </c>
      <c r="C37" s="161">
        <f>COUNTIF(D37:S37,"R")</f>
        <v>0</v>
      </c>
      <c r="D37" s="262"/>
      <c r="E37" s="262"/>
      <c r="F37" s="262"/>
      <c r="G37" s="262"/>
      <c r="H37" s="262"/>
      <c r="I37" s="262"/>
      <c r="J37" s="262"/>
      <c r="K37" s="262"/>
      <c r="L37" s="262"/>
      <c r="M37" s="262"/>
    </row>
    <row r="38" spans="2:13" ht="14.1" customHeight="1">
      <c r="B38" s="154" t="str">
        <f>AanwezigReserve!D38</f>
        <v>Rik Malfliet</v>
      </c>
      <c r="C38" s="161">
        <f>COUNTIF(D38:T38,"R")</f>
        <v>0</v>
      </c>
      <c r="D38" s="262"/>
      <c r="E38" s="262"/>
      <c r="F38" s="262"/>
      <c r="G38" s="262"/>
      <c r="H38" s="262"/>
      <c r="I38" s="262"/>
      <c r="J38" s="262"/>
      <c r="K38" s="262"/>
      <c r="L38" s="262"/>
      <c r="M38" s="262"/>
    </row>
    <row r="39" spans="2:13" ht="14.1" customHeight="1">
      <c r="B39" s="154" t="str">
        <f>AanwezigReserve!D39</f>
        <v>Rita Van Helleputte</v>
      </c>
      <c r="C39" s="161">
        <f>COUNTIF(D39:S39,"R")</f>
        <v>0</v>
      </c>
      <c r="D39" s="262"/>
      <c r="E39" s="262"/>
      <c r="F39" s="262"/>
      <c r="G39" s="262"/>
      <c r="H39" s="262"/>
      <c r="I39" s="262"/>
      <c r="J39" s="262"/>
      <c r="K39" s="262"/>
      <c r="L39" s="262"/>
      <c r="M39" s="262"/>
    </row>
    <row r="40" spans="2:13" ht="14.1" customHeight="1">
      <c r="B40" s="154" t="str">
        <f>AanwezigReserve!D40</f>
        <v>Roger Schietse</v>
      </c>
      <c r="C40" s="161">
        <f>COUNTIF(D40:S40,"R")</f>
        <v>0</v>
      </c>
      <c r="D40" s="262"/>
      <c r="E40" s="262"/>
      <c r="F40" s="262"/>
      <c r="G40" s="262"/>
      <c r="H40" s="262"/>
      <c r="I40" s="262"/>
      <c r="J40" s="262"/>
      <c r="K40" s="262"/>
      <c r="L40" s="262"/>
      <c r="M40" s="262"/>
    </row>
    <row r="41" spans="2:13" ht="14.1" customHeight="1">
      <c r="B41" s="154" t="str">
        <f>AanwezigReserve!D41</f>
        <v>Roger Van Peteghem</v>
      </c>
      <c r="C41" s="161">
        <f t="shared" ref="C41:C47" si="1">COUNTIF(D41:T41,"R")</f>
        <v>0</v>
      </c>
      <c r="D41" s="262"/>
      <c r="E41" s="262"/>
      <c r="F41" s="262"/>
      <c r="G41" s="262"/>
      <c r="H41" s="262"/>
      <c r="I41" s="262"/>
      <c r="J41" s="262"/>
      <c r="K41" s="262"/>
      <c r="L41" s="262"/>
      <c r="M41" s="262"/>
    </row>
    <row r="42" spans="2:13" ht="14.1" customHeight="1">
      <c r="B42" s="154" t="str">
        <f>AanwezigReserve!D42</f>
        <v>Rosane Biasino</v>
      </c>
      <c r="C42" s="161">
        <f t="shared" si="1"/>
        <v>0</v>
      </c>
      <c r="D42" s="262"/>
      <c r="E42" s="262"/>
      <c r="F42" s="262"/>
      <c r="G42" s="262"/>
      <c r="H42" s="262"/>
      <c r="I42" s="262"/>
      <c r="J42" s="262"/>
      <c r="K42" s="262"/>
      <c r="L42" s="262"/>
      <c r="M42" s="262"/>
    </row>
    <row r="43" spans="2:13" ht="14.1" customHeight="1">
      <c r="B43" s="154" t="str">
        <f>AanwezigReserve!D43</f>
        <v>Simonne Pauwels</v>
      </c>
      <c r="C43" s="161">
        <f t="shared" si="1"/>
        <v>0</v>
      </c>
      <c r="D43" s="262"/>
      <c r="E43" s="262"/>
      <c r="F43" s="262"/>
      <c r="G43" s="262"/>
      <c r="H43" s="262"/>
      <c r="I43" s="262"/>
      <c r="J43" s="262"/>
      <c r="K43" s="262"/>
      <c r="L43" s="262"/>
      <c r="M43" s="262"/>
    </row>
    <row r="44" spans="2:13" ht="14.1" customHeight="1">
      <c r="B44" s="154" t="str">
        <f>AanwezigReserve!D44</f>
        <v>Stan Astaes</v>
      </c>
      <c r="C44" s="161">
        <f t="shared" si="1"/>
        <v>0</v>
      </c>
      <c r="D44" s="262"/>
      <c r="E44" s="262"/>
      <c r="F44" s="262"/>
      <c r="G44" s="262"/>
      <c r="H44" s="262"/>
      <c r="I44" s="262"/>
      <c r="J44" s="262"/>
      <c r="K44" s="262"/>
      <c r="L44" s="262"/>
      <c r="M44" s="262"/>
    </row>
    <row r="45" spans="2:13" ht="14.1" customHeight="1">
      <c r="B45" s="154" t="str">
        <f>AanwezigReserve!D45</f>
        <v>Suzanne Muijters</v>
      </c>
      <c r="C45" s="161">
        <f t="shared" si="1"/>
        <v>0</v>
      </c>
      <c r="D45" s="262"/>
      <c r="E45" s="262"/>
      <c r="F45" s="262"/>
      <c r="G45" s="262"/>
      <c r="H45" s="262"/>
      <c r="I45" s="262"/>
      <c r="J45" s="262"/>
      <c r="K45" s="262"/>
      <c r="L45" s="262"/>
      <c r="M45" s="262"/>
    </row>
    <row r="46" spans="2:13" ht="14.1" customHeight="1">
      <c r="B46" s="154" t="str">
        <f>AanwezigReserve!D46</f>
        <v>Tony Criel</v>
      </c>
      <c r="C46" s="161">
        <f t="shared" si="1"/>
        <v>0</v>
      </c>
      <c r="D46" s="262"/>
      <c r="E46" s="262"/>
      <c r="F46" s="262"/>
      <c r="G46" s="262"/>
      <c r="H46" s="262"/>
      <c r="I46" s="262"/>
      <c r="J46" s="262"/>
      <c r="K46" s="262"/>
      <c r="L46" s="262"/>
      <c r="M46" s="262"/>
    </row>
    <row r="47" spans="2:13" ht="14.1" customHeight="1">
      <c r="B47" s="154" t="str">
        <f>AanwezigReserve!D47</f>
        <v>Walter Saveyn</v>
      </c>
      <c r="C47" s="161">
        <f t="shared" si="1"/>
        <v>0</v>
      </c>
      <c r="D47" s="262"/>
      <c r="E47" s="262"/>
      <c r="F47" s="262"/>
      <c r="G47" s="262"/>
      <c r="H47" s="262"/>
      <c r="I47" s="262"/>
      <c r="J47" s="262"/>
      <c r="K47" s="262"/>
      <c r="L47" s="262"/>
      <c r="M47" s="262"/>
    </row>
    <row r="48" spans="2:13" ht="14.1" customHeight="1">
      <c r="B48" s="154" t="str">
        <f>AanwezigReserve!D48</f>
        <v>Willy Duwyn</v>
      </c>
      <c r="C48" s="161">
        <f t="shared" ref="C48:C54" si="2">COUNTIF(D48:N48,"R")</f>
        <v>0</v>
      </c>
      <c r="D48" s="262"/>
      <c r="E48" s="262"/>
      <c r="F48" s="262"/>
      <c r="G48" s="262"/>
      <c r="H48" s="262"/>
      <c r="I48" s="262"/>
      <c r="J48" s="262"/>
      <c r="K48" s="262"/>
      <c r="L48" s="262"/>
      <c r="M48" s="262"/>
    </row>
    <row r="49" spans="2:14" ht="14.1" customHeight="1">
      <c r="B49" s="154" t="str">
        <f>AanwezigReserve!D49</f>
        <v>Wim Van Peteghem</v>
      </c>
      <c r="C49" s="161">
        <f t="shared" si="2"/>
        <v>0</v>
      </c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153" t="s">
        <v>175</v>
      </c>
    </row>
    <row r="50" spans="2:14" ht="14.1" customHeight="1">
      <c r="B50" s="154" t="str">
        <f>AanwezigReserve!D50</f>
        <v xml:space="preserve">ZZAnnie </v>
      </c>
      <c r="C50" s="161">
        <f t="shared" si="2"/>
        <v>0</v>
      </c>
      <c r="D50" s="262"/>
      <c r="E50" s="262"/>
      <c r="F50" s="262"/>
      <c r="G50" s="262"/>
      <c r="H50" s="262"/>
      <c r="I50" s="262"/>
      <c r="J50" s="262"/>
      <c r="K50" s="262"/>
      <c r="L50" s="262"/>
      <c r="M50" s="262"/>
    </row>
    <row r="51" spans="2:14" ht="14.1" customHeight="1">
      <c r="B51" s="154" t="str">
        <f>AanwezigReserve!D51</f>
        <v xml:space="preserve"> </v>
      </c>
      <c r="C51" s="161">
        <f t="shared" si="2"/>
        <v>0</v>
      </c>
      <c r="D51" s="262"/>
      <c r="E51" s="262"/>
      <c r="F51" s="262"/>
      <c r="G51" s="262"/>
      <c r="H51" s="262"/>
      <c r="I51" s="262"/>
      <c r="J51" s="262"/>
      <c r="K51" s="262"/>
      <c r="L51" s="262"/>
      <c r="M51" s="262"/>
    </row>
    <row r="52" spans="2:14" ht="14.1" customHeight="1">
      <c r="B52" s="154" t="str">
        <f>AanwezigReserve!D52</f>
        <v xml:space="preserve"> </v>
      </c>
      <c r="C52" s="161">
        <f t="shared" si="2"/>
        <v>0</v>
      </c>
      <c r="D52" s="198"/>
      <c r="E52" s="262"/>
      <c r="F52" s="262"/>
      <c r="G52" s="262"/>
      <c r="H52" s="262"/>
      <c r="I52" s="262"/>
      <c r="J52" s="262"/>
      <c r="K52" s="262"/>
      <c r="L52" s="262"/>
      <c r="M52" s="262"/>
    </row>
    <row r="53" spans="2:14" ht="14.1" customHeight="1">
      <c r="B53" s="154">
        <f>AanwezigReserve!D53</f>
        <v>0</v>
      </c>
      <c r="C53" s="161">
        <f t="shared" si="2"/>
        <v>0</v>
      </c>
      <c r="D53" s="198"/>
      <c r="E53" s="262"/>
      <c r="F53" s="262"/>
      <c r="G53" s="262"/>
      <c r="H53" s="262"/>
      <c r="I53" s="262"/>
      <c r="J53" s="262"/>
      <c r="K53" s="262"/>
      <c r="L53" s="262"/>
      <c r="M53" s="262"/>
    </row>
    <row r="54" spans="2:14" ht="14.1" customHeight="1">
      <c r="B54" s="154">
        <f>AanwezigReserve!D54</f>
        <v>0</v>
      </c>
      <c r="C54" s="161">
        <f t="shared" si="2"/>
        <v>0</v>
      </c>
      <c r="D54" s="198"/>
      <c r="E54" s="262"/>
      <c r="F54" s="262"/>
      <c r="G54" s="262"/>
      <c r="H54" s="262"/>
      <c r="I54" s="262"/>
      <c r="J54" s="262"/>
      <c r="K54" s="262"/>
      <c r="L54" s="262"/>
      <c r="M54" s="262"/>
    </row>
    <row r="55" spans="2:14" ht="14.1" customHeight="1">
      <c r="D55" s="157" t="s">
        <v>104</v>
      </c>
      <c r="E55" s="157" t="s">
        <v>105</v>
      </c>
      <c r="F55" s="157" t="s">
        <v>106</v>
      </c>
      <c r="G55" s="157" t="s">
        <v>107</v>
      </c>
      <c r="H55" s="157" t="s">
        <v>108</v>
      </c>
      <c r="I55" s="157" t="s">
        <v>109</v>
      </c>
      <c r="J55" s="157" t="s">
        <v>110</v>
      </c>
      <c r="K55" s="157" t="s">
        <v>111</v>
      </c>
      <c r="L55" s="157" t="s">
        <v>112</v>
      </c>
      <c r="M55" s="157" t="s">
        <v>113</v>
      </c>
    </row>
    <row r="56" spans="2:14" ht="14.1" customHeight="1">
      <c r="D56" s="157"/>
      <c r="E56" s="157"/>
      <c r="F56" s="157"/>
      <c r="G56" s="157"/>
      <c r="H56" s="157"/>
      <c r="I56" s="157"/>
      <c r="J56" s="157"/>
      <c r="K56" s="157"/>
      <c r="L56" s="157"/>
      <c r="M56" s="157"/>
    </row>
    <row r="57" spans="2:14" ht="14.1" customHeight="1">
      <c r="D57" s="157"/>
      <c r="E57" s="157"/>
      <c r="F57" s="157"/>
      <c r="G57" s="157"/>
      <c r="H57" s="157"/>
      <c r="I57" s="157"/>
      <c r="J57" s="157"/>
      <c r="K57" s="157"/>
      <c r="L57" s="157"/>
      <c r="M57" s="157"/>
    </row>
    <row r="58" spans="2:14" ht="14.1" customHeight="1">
      <c r="D58" s="157"/>
      <c r="E58" s="157"/>
      <c r="F58" s="157"/>
      <c r="G58" s="157"/>
      <c r="H58" s="157"/>
      <c r="I58" s="157"/>
      <c r="J58" s="157"/>
      <c r="K58" s="157"/>
      <c r="L58" s="157"/>
      <c r="M58" s="157"/>
    </row>
    <row r="59" spans="2:14" ht="14.1" customHeight="1">
      <c r="D59" s="157"/>
      <c r="E59" s="157"/>
      <c r="F59" s="157"/>
      <c r="G59" s="157"/>
      <c r="H59" s="157"/>
      <c r="I59" s="157"/>
      <c r="J59" s="157"/>
      <c r="K59" s="157"/>
      <c r="L59" s="157"/>
      <c r="M59" s="157"/>
    </row>
    <row r="60" spans="2:14" ht="14.1" customHeight="1">
      <c r="D60" s="157"/>
      <c r="E60" s="157"/>
      <c r="F60" s="157"/>
      <c r="G60" s="157"/>
      <c r="H60" s="157"/>
      <c r="I60" s="157"/>
      <c r="J60" s="157"/>
      <c r="K60" s="157"/>
      <c r="L60" s="157"/>
      <c r="M60" s="157"/>
    </row>
    <row r="61" spans="2:14" ht="14.1" customHeight="1">
      <c r="D61" s="157"/>
      <c r="E61" s="157"/>
      <c r="F61" s="157"/>
      <c r="G61" s="157"/>
      <c r="H61" s="157"/>
      <c r="I61" s="157"/>
      <c r="J61" s="157"/>
      <c r="K61" s="157"/>
      <c r="L61" s="157"/>
      <c r="M61" s="157"/>
    </row>
    <row r="62" spans="2:14" ht="14.1" customHeight="1">
      <c r="D62" s="157"/>
      <c r="E62" s="157"/>
      <c r="F62" s="157"/>
      <c r="G62" s="157"/>
      <c r="H62" s="157"/>
      <c r="I62" s="157"/>
      <c r="J62" s="157"/>
      <c r="K62" s="157"/>
      <c r="L62" s="157"/>
      <c r="M62" s="157"/>
    </row>
    <row r="63" spans="2:14" ht="14.1" customHeight="1">
      <c r="D63" s="157"/>
      <c r="E63" s="157"/>
      <c r="F63" s="157"/>
      <c r="G63" s="157"/>
      <c r="H63" s="157"/>
      <c r="I63" s="157"/>
      <c r="J63" s="157"/>
      <c r="K63" s="157"/>
      <c r="L63" s="157"/>
      <c r="M63" s="157"/>
    </row>
    <row r="64" spans="2:14" ht="14.1" customHeight="1">
      <c r="D64" s="157"/>
      <c r="E64" s="157"/>
      <c r="F64" s="157"/>
      <c r="G64" s="157"/>
      <c r="H64" s="157"/>
      <c r="I64" s="157"/>
      <c r="J64" s="157"/>
      <c r="K64" s="157"/>
      <c r="L64" s="157"/>
      <c r="M64" s="157"/>
    </row>
    <row r="65" spans="3:13" ht="14.1" customHeight="1">
      <c r="D65" s="157"/>
      <c r="E65" s="157"/>
      <c r="F65" s="157"/>
      <c r="G65" s="157"/>
      <c r="H65" s="157"/>
      <c r="I65" s="157"/>
      <c r="J65" s="157"/>
      <c r="K65" s="157"/>
      <c r="L65" s="157"/>
      <c r="M65" s="157"/>
    </row>
    <row r="66" spans="3:13" ht="14.1" customHeight="1">
      <c r="D66" s="157"/>
      <c r="E66" s="157"/>
      <c r="F66" s="157"/>
      <c r="G66" s="157"/>
      <c r="H66" s="157"/>
      <c r="I66" s="157"/>
      <c r="J66" s="157"/>
      <c r="K66" s="157"/>
      <c r="L66" s="157"/>
      <c r="M66" s="157"/>
    </row>
    <row r="67" spans="3:13" ht="14.1" customHeight="1">
      <c r="D67" s="157"/>
      <c r="E67" s="157"/>
      <c r="F67" s="157"/>
      <c r="G67" s="157"/>
      <c r="H67" s="157"/>
      <c r="I67" s="157"/>
      <c r="J67" s="157"/>
      <c r="K67" s="157"/>
      <c r="L67" s="157"/>
      <c r="M67" s="157"/>
    </row>
    <row r="68" spans="3:13" ht="14.1" customHeight="1">
      <c r="D68" s="157"/>
      <c r="E68" s="157"/>
      <c r="F68" s="157"/>
      <c r="G68" s="157"/>
      <c r="H68" s="157"/>
      <c r="I68" s="157"/>
      <c r="J68" s="157"/>
      <c r="K68" s="157"/>
      <c r="L68" s="157"/>
      <c r="M68" s="157"/>
    </row>
    <row r="69" spans="3:13" ht="14.1" customHeight="1">
      <c r="D69" s="155"/>
      <c r="E69" s="155"/>
      <c r="F69" s="155"/>
      <c r="G69" s="155"/>
      <c r="H69" s="155"/>
      <c r="I69" s="155"/>
      <c r="J69" s="155"/>
      <c r="K69" s="155"/>
      <c r="L69" s="155"/>
      <c r="M69" s="155"/>
    </row>
    <row r="70" spans="3:13" ht="14.1" customHeight="1">
      <c r="D70" s="155"/>
      <c r="E70" s="155"/>
      <c r="F70" s="155"/>
      <c r="G70" s="155"/>
      <c r="H70" s="155"/>
      <c r="I70" s="155"/>
      <c r="J70" s="155"/>
      <c r="K70" s="155"/>
      <c r="L70" s="155"/>
      <c r="M70" s="155"/>
    </row>
    <row r="71" spans="3:13" ht="14.1" customHeight="1">
      <c r="D71" s="155"/>
      <c r="E71" s="155"/>
      <c r="F71" s="155"/>
      <c r="G71" s="155"/>
      <c r="H71" s="155"/>
      <c r="I71" s="155"/>
      <c r="J71" s="155"/>
      <c r="K71" s="155"/>
      <c r="L71" s="155"/>
      <c r="M71" s="155"/>
    </row>
    <row r="72" spans="3:13" ht="14.1" customHeight="1">
      <c r="E72" s="158"/>
    </row>
    <row r="73" spans="3:13" ht="14.1" customHeight="1">
      <c r="D73" s="155"/>
      <c r="E73" s="155"/>
      <c r="F73" s="155"/>
      <c r="G73" s="155"/>
      <c r="H73" s="155"/>
      <c r="I73" s="155"/>
      <c r="J73" s="155"/>
      <c r="K73" s="155"/>
      <c r="L73" s="155"/>
      <c r="M73" s="155"/>
    </row>
    <row r="74" spans="3:13" ht="14.1" customHeight="1">
      <c r="D74" s="155"/>
      <c r="E74" s="155"/>
      <c r="F74" s="155"/>
      <c r="G74" s="155"/>
      <c r="H74" s="155"/>
      <c r="I74" s="155"/>
      <c r="J74" s="155"/>
      <c r="K74" s="155"/>
      <c r="L74" s="155"/>
      <c r="M74" s="155"/>
    </row>
    <row r="75" spans="3:13" ht="14.1" customHeight="1">
      <c r="D75" s="155"/>
      <c r="E75" s="155"/>
      <c r="F75" s="155"/>
      <c r="G75" s="155"/>
      <c r="H75" s="155"/>
      <c r="I75" s="155"/>
      <c r="J75" s="155"/>
      <c r="K75" s="155"/>
      <c r="L75" s="155"/>
      <c r="M75" s="155"/>
    </row>
    <row r="76" spans="3:13" ht="14.1" customHeight="1">
      <c r="D76" s="155"/>
      <c r="E76" s="155"/>
      <c r="F76" s="155"/>
      <c r="G76" s="155"/>
      <c r="H76" s="155"/>
      <c r="I76" s="155"/>
      <c r="J76" s="155"/>
      <c r="K76" s="155"/>
      <c r="L76" s="155"/>
      <c r="M76" s="155"/>
    </row>
    <row r="77" spans="3:13" ht="14.1" customHeight="1">
      <c r="D77" s="155"/>
      <c r="E77" s="155"/>
      <c r="F77" s="155"/>
      <c r="G77" s="155"/>
      <c r="H77" s="155"/>
      <c r="I77" s="155"/>
      <c r="J77" s="155"/>
      <c r="K77" s="155"/>
      <c r="L77" s="155"/>
      <c r="M77" s="155"/>
    </row>
    <row r="78" spans="3:13" ht="14.1" customHeight="1">
      <c r="D78" s="155"/>
      <c r="E78" s="155"/>
      <c r="F78" s="155"/>
      <c r="G78" s="155"/>
      <c r="H78" s="155"/>
      <c r="I78" s="155"/>
      <c r="J78" s="155"/>
      <c r="K78" s="155"/>
      <c r="L78" s="155"/>
      <c r="M78" s="155"/>
    </row>
    <row r="79" spans="3:13" ht="14.1" customHeight="1">
      <c r="D79" s="155"/>
      <c r="E79" s="155"/>
      <c r="F79" s="155"/>
      <c r="G79" s="155"/>
      <c r="H79" s="155"/>
      <c r="I79" s="155"/>
      <c r="J79" s="155"/>
      <c r="K79" s="155"/>
      <c r="L79" s="155"/>
      <c r="M79" s="155"/>
    </row>
    <row r="80" spans="3:13" ht="14.1" customHeight="1">
      <c r="C80" s="159"/>
      <c r="D80" s="155"/>
      <c r="E80" s="155"/>
      <c r="F80" s="155"/>
      <c r="G80" s="155"/>
      <c r="H80" s="155"/>
      <c r="I80" s="155"/>
      <c r="J80" s="155"/>
      <c r="K80" s="155"/>
      <c r="L80" s="155"/>
      <c r="M80" s="155"/>
    </row>
    <row r="81" spans="3:13" ht="14.1" customHeight="1">
      <c r="C81" s="159"/>
      <c r="D81" s="155"/>
      <c r="E81" s="155"/>
      <c r="F81" s="155"/>
      <c r="G81" s="155"/>
      <c r="H81" s="155"/>
      <c r="I81" s="155"/>
      <c r="J81" s="155"/>
      <c r="K81" s="155"/>
      <c r="L81" s="155"/>
      <c r="M81" s="155"/>
    </row>
    <row r="82" spans="3:13" ht="14.1" customHeight="1">
      <c r="C82" s="159"/>
      <c r="D82" s="155"/>
      <c r="E82" s="155"/>
      <c r="F82" s="155"/>
      <c r="G82" s="155"/>
      <c r="H82" s="155"/>
      <c r="I82" s="155"/>
      <c r="J82" s="155"/>
      <c r="K82" s="155"/>
      <c r="L82" s="155"/>
      <c r="M82" s="155"/>
    </row>
    <row r="83" spans="3:13" ht="14.1" customHeight="1">
      <c r="C83" s="159"/>
      <c r="D83" s="155"/>
      <c r="E83" s="155"/>
      <c r="F83" s="155"/>
      <c r="G83" s="155"/>
      <c r="H83" s="155"/>
      <c r="I83" s="155"/>
      <c r="J83" s="155"/>
      <c r="K83" s="155"/>
      <c r="L83" s="155"/>
      <c r="M83" s="155"/>
    </row>
    <row r="84" spans="3:13" ht="14.1" customHeight="1">
      <c r="C84" s="159"/>
      <c r="D84" s="155"/>
      <c r="E84" s="155"/>
      <c r="F84" s="155"/>
      <c r="G84" s="155"/>
      <c r="H84" s="155"/>
      <c r="I84" s="155"/>
      <c r="J84" s="155"/>
      <c r="K84" s="155"/>
      <c r="L84" s="155"/>
      <c r="M84" s="155"/>
    </row>
    <row r="85" spans="3:13" ht="14.1" customHeight="1">
      <c r="C85" s="159"/>
      <c r="D85" s="155"/>
      <c r="E85" s="155"/>
      <c r="F85" s="155"/>
      <c r="G85" s="155"/>
      <c r="H85" s="155"/>
      <c r="I85" s="155"/>
      <c r="J85" s="155"/>
      <c r="K85" s="155"/>
      <c r="L85" s="155"/>
      <c r="M85" s="155"/>
    </row>
    <row r="86" spans="3:13" ht="14.1" customHeight="1">
      <c r="C86" s="159"/>
      <c r="D86" s="155"/>
      <c r="E86" s="155"/>
      <c r="F86" s="155"/>
      <c r="G86" s="155"/>
      <c r="H86" s="155"/>
      <c r="I86" s="155"/>
      <c r="J86" s="155"/>
      <c r="K86" s="155"/>
      <c r="L86" s="155"/>
      <c r="M86" s="155"/>
    </row>
    <row r="87" spans="3:13" ht="14.1" customHeight="1">
      <c r="C87" s="159"/>
      <c r="D87" s="155"/>
      <c r="E87" s="155"/>
      <c r="F87" s="155"/>
      <c r="G87" s="155"/>
      <c r="H87" s="155"/>
      <c r="I87" s="155"/>
      <c r="J87" s="155"/>
      <c r="K87" s="155"/>
      <c r="L87" s="155"/>
      <c r="M87" s="155"/>
    </row>
    <row r="88" spans="3:13" ht="14.1" customHeight="1">
      <c r="C88" s="159"/>
      <c r="D88" s="155"/>
      <c r="E88" s="155"/>
      <c r="F88" s="155"/>
      <c r="G88" s="155"/>
      <c r="H88" s="155"/>
      <c r="I88" s="155"/>
      <c r="J88" s="155"/>
      <c r="K88" s="155"/>
      <c r="L88" s="155"/>
      <c r="M88" s="155"/>
    </row>
    <row r="89" spans="3:13" ht="14.1" customHeight="1">
      <c r="C89" s="159"/>
      <c r="D89" s="155"/>
      <c r="E89" s="155"/>
      <c r="F89" s="155"/>
      <c r="G89" s="155"/>
      <c r="H89" s="155"/>
      <c r="I89" s="155"/>
      <c r="J89" s="155"/>
      <c r="K89" s="155"/>
      <c r="L89" s="155"/>
      <c r="M89" s="155"/>
    </row>
    <row r="90" spans="3:13" ht="14.1" customHeight="1">
      <c r="C90" s="159"/>
      <c r="D90" s="155"/>
      <c r="E90" s="155"/>
      <c r="F90" s="155"/>
      <c r="G90" s="155"/>
      <c r="H90" s="155"/>
      <c r="I90" s="155"/>
      <c r="J90" s="155"/>
      <c r="K90" s="155"/>
      <c r="L90" s="155"/>
      <c r="M90" s="155"/>
    </row>
    <row r="91" spans="3:13" ht="14.1" customHeight="1">
      <c r="C91" s="159"/>
      <c r="D91" s="155"/>
      <c r="E91" s="155"/>
      <c r="F91" s="155"/>
      <c r="G91" s="155"/>
      <c r="H91" s="155"/>
      <c r="I91" s="155"/>
      <c r="J91" s="155"/>
      <c r="K91" s="155"/>
      <c r="L91" s="155"/>
      <c r="M91" s="155"/>
    </row>
    <row r="92" spans="3:13" ht="14.1" customHeight="1">
      <c r="C92" s="159"/>
      <c r="D92" s="155"/>
      <c r="E92" s="155"/>
      <c r="F92" s="155"/>
      <c r="G92" s="155"/>
      <c r="H92" s="155"/>
      <c r="I92" s="155"/>
      <c r="J92" s="155"/>
      <c r="K92" s="155"/>
      <c r="L92" s="155"/>
      <c r="M92" s="155"/>
    </row>
    <row r="93" spans="3:13" ht="14.1" customHeight="1">
      <c r="C93" s="159"/>
      <c r="D93" s="155"/>
      <c r="E93" s="155"/>
      <c r="F93" s="155"/>
      <c r="G93" s="155"/>
      <c r="H93" s="155"/>
      <c r="I93" s="155"/>
      <c r="J93" s="155"/>
      <c r="K93" s="155"/>
      <c r="L93" s="155"/>
      <c r="M93" s="155"/>
    </row>
    <row r="94" spans="3:13" ht="14.1" customHeight="1">
      <c r="C94" s="159"/>
      <c r="D94" s="155"/>
      <c r="E94" s="155"/>
      <c r="F94" s="155"/>
      <c r="G94" s="155"/>
      <c r="H94" s="155"/>
      <c r="I94" s="155"/>
      <c r="J94" s="155"/>
      <c r="K94" s="155"/>
      <c r="L94" s="155"/>
      <c r="M94" s="155"/>
    </row>
    <row r="95" spans="3:13" ht="14.1" customHeight="1">
      <c r="C95" s="159"/>
      <c r="D95" s="155"/>
      <c r="E95" s="155"/>
      <c r="F95" s="155"/>
      <c r="G95" s="155"/>
      <c r="H95" s="155"/>
      <c r="I95" s="155"/>
      <c r="J95" s="155"/>
      <c r="K95" s="155"/>
      <c r="L95" s="155"/>
      <c r="M95" s="155"/>
    </row>
    <row r="96" spans="3:13" ht="14.1" customHeight="1">
      <c r="C96" s="159"/>
      <c r="D96" s="155"/>
      <c r="E96" s="155"/>
      <c r="F96" s="155"/>
      <c r="G96" s="155"/>
      <c r="H96" s="155"/>
      <c r="I96" s="155"/>
      <c r="J96" s="155"/>
      <c r="K96" s="155"/>
      <c r="L96" s="155"/>
      <c r="M96" s="155"/>
    </row>
    <row r="97" spans="3:13" ht="14.1" customHeight="1">
      <c r="C97" s="159"/>
      <c r="D97" s="155"/>
      <c r="E97" s="155"/>
      <c r="F97" s="155"/>
      <c r="G97" s="155"/>
      <c r="H97" s="155"/>
      <c r="I97" s="155"/>
      <c r="J97" s="155"/>
      <c r="K97" s="155"/>
      <c r="L97" s="155"/>
      <c r="M97" s="155"/>
    </row>
    <row r="98" spans="3:13" ht="14.1" customHeight="1">
      <c r="C98" s="159"/>
      <c r="D98" s="155"/>
      <c r="E98" s="155"/>
      <c r="F98" s="155"/>
      <c r="G98" s="155"/>
      <c r="H98" s="155"/>
      <c r="I98" s="155"/>
      <c r="J98" s="155"/>
      <c r="K98" s="155"/>
      <c r="L98" s="155"/>
      <c r="M98" s="155"/>
    </row>
    <row r="99" spans="3:13" ht="14.1" customHeight="1">
      <c r="C99" s="159"/>
      <c r="D99" s="155"/>
      <c r="E99" s="155"/>
      <c r="F99" s="155"/>
      <c r="G99" s="155"/>
      <c r="H99" s="155"/>
      <c r="I99" s="155"/>
      <c r="J99" s="155"/>
      <c r="K99" s="155"/>
      <c r="L99" s="155"/>
      <c r="M99" s="155"/>
    </row>
    <row r="100" spans="3:13" ht="14.1" customHeight="1">
      <c r="C100" s="159"/>
      <c r="D100" s="160"/>
      <c r="E100" s="160"/>
      <c r="F100" s="160"/>
      <c r="G100" s="160"/>
      <c r="H100" s="160"/>
      <c r="I100" s="160"/>
      <c r="J100" s="160"/>
      <c r="K100" s="160"/>
      <c r="L100" s="160"/>
      <c r="M100" s="160"/>
    </row>
    <row r="101" spans="3:13" ht="14.1" customHeight="1">
      <c r="C101" s="159"/>
      <c r="D101" s="160"/>
      <c r="E101" s="160"/>
      <c r="F101" s="160"/>
      <c r="G101" s="160"/>
      <c r="H101" s="160"/>
      <c r="I101" s="160"/>
      <c r="J101" s="160"/>
      <c r="K101" s="160"/>
      <c r="L101" s="160"/>
      <c r="M101" s="160"/>
    </row>
    <row r="102" spans="3:13" ht="14.1" customHeight="1">
      <c r="C102" s="159"/>
      <c r="D102" s="160"/>
      <c r="E102" s="160"/>
      <c r="F102" s="160"/>
      <c r="G102" s="160"/>
      <c r="H102" s="160"/>
      <c r="I102" s="160"/>
      <c r="J102" s="160"/>
      <c r="K102" s="160"/>
      <c r="L102" s="160"/>
      <c r="M102" s="160"/>
    </row>
    <row r="103" spans="3:13" ht="14.1" customHeight="1">
      <c r="C103" s="159"/>
      <c r="D103" s="160"/>
      <c r="E103" s="160"/>
      <c r="F103" s="160"/>
      <c r="G103" s="160"/>
      <c r="H103" s="160"/>
      <c r="I103" s="160"/>
      <c r="J103" s="160"/>
      <c r="K103" s="160"/>
      <c r="L103" s="160"/>
      <c r="M103" s="160"/>
    </row>
    <row r="104" spans="3:13" ht="14.1" customHeight="1">
      <c r="C104" s="159"/>
      <c r="D104" s="155"/>
      <c r="E104" s="155"/>
      <c r="F104" s="155"/>
      <c r="G104" s="155"/>
      <c r="H104" s="155"/>
      <c r="I104" s="155"/>
      <c r="J104" s="155"/>
      <c r="K104" s="155"/>
      <c r="L104" s="155"/>
      <c r="M104" s="155"/>
    </row>
    <row r="105" spans="3:13" ht="14.1" customHeight="1">
      <c r="C105" s="159"/>
      <c r="D105" s="155"/>
      <c r="E105" s="155"/>
      <c r="F105" s="155"/>
      <c r="G105" s="155"/>
      <c r="H105" s="155"/>
      <c r="I105" s="155"/>
      <c r="J105" s="155"/>
      <c r="K105" s="155"/>
      <c r="L105" s="155"/>
      <c r="M105" s="155"/>
    </row>
    <row r="106" spans="3:13" ht="14.1" customHeight="1">
      <c r="C106" s="159"/>
      <c r="D106" s="155"/>
      <c r="E106" s="155"/>
      <c r="F106" s="155"/>
      <c r="G106" s="155"/>
      <c r="H106" s="155"/>
      <c r="I106" s="155"/>
      <c r="J106" s="155"/>
      <c r="K106" s="155"/>
      <c r="L106" s="155"/>
      <c r="M106" s="155"/>
    </row>
    <row r="107" spans="3:13" ht="14.1" customHeight="1">
      <c r="C107" s="159"/>
      <c r="D107" s="155"/>
      <c r="E107" s="155"/>
      <c r="F107" s="155"/>
      <c r="G107" s="155"/>
      <c r="H107" s="155"/>
      <c r="I107" s="155"/>
      <c r="J107" s="155"/>
      <c r="K107" s="155"/>
      <c r="L107" s="155"/>
      <c r="M107" s="155"/>
    </row>
    <row r="108" spans="3:13" ht="14.1" customHeight="1">
      <c r="C108" s="159"/>
      <c r="D108" s="155"/>
      <c r="E108" s="155"/>
      <c r="F108" s="155"/>
      <c r="G108" s="155"/>
      <c r="H108" s="155"/>
      <c r="I108" s="155"/>
      <c r="J108" s="155"/>
      <c r="K108" s="155"/>
      <c r="L108" s="155"/>
      <c r="M108" s="155"/>
    </row>
    <row r="109" spans="3:13" ht="14.1" customHeight="1">
      <c r="C109" s="159"/>
      <c r="D109" s="155"/>
      <c r="E109" s="155"/>
      <c r="F109" s="155"/>
      <c r="G109" s="155"/>
      <c r="H109" s="155"/>
      <c r="I109" s="155"/>
      <c r="J109" s="155"/>
      <c r="K109" s="155"/>
      <c r="L109" s="155"/>
      <c r="M109" s="155"/>
    </row>
    <row r="110" spans="3:13" ht="14.1" customHeight="1">
      <c r="C110" s="159"/>
      <c r="D110" s="155"/>
      <c r="E110" s="155"/>
      <c r="F110" s="155"/>
      <c r="G110" s="155"/>
      <c r="H110" s="155"/>
      <c r="I110" s="155"/>
      <c r="J110" s="155"/>
      <c r="K110" s="155"/>
      <c r="L110" s="155"/>
      <c r="M110" s="155"/>
    </row>
    <row r="111" spans="3:13" ht="14.1" customHeight="1">
      <c r="C111" s="159"/>
      <c r="D111" s="155"/>
      <c r="E111" s="155"/>
      <c r="F111" s="155"/>
      <c r="G111" s="155"/>
      <c r="H111" s="155"/>
      <c r="I111" s="155"/>
      <c r="J111" s="155"/>
      <c r="K111" s="155"/>
      <c r="L111" s="155"/>
      <c r="M111" s="155"/>
    </row>
    <row r="112" spans="3:13" ht="14.1" customHeight="1">
      <c r="C112" s="159"/>
      <c r="D112" s="155"/>
      <c r="E112" s="155"/>
      <c r="F112" s="155"/>
      <c r="G112" s="155"/>
      <c r="H112" s="155"/>
      <c r="I112" s="155"/>
      <c r="J112" s="155"/>
      <c r="K112" s="155"/>
      <c r="L112" s="155"/>
      <c r="M112" s="155"/>
    </row>
    <row r="113" spans="3:13" ht="14.1" customHeight="1">
      <c r="C113" s="159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</row>
    <row r="114" spans="3:13" ht="14.1" customHeight="1">
      <c r="C114" s="159"/>
      <c r="D114" s="155"/>
      <c r="E114" s="155"/>
      <c r="F114" s="155"/>
      <c r="G114" s="155"/>
      <c r="H114" s="155"/>
      <c r="I114" s="155"/>
      <c r="J114" s="155"/>
      <c r="K114" s="155"/>
      <c r="L114" s="155"/>
      <c r="M114" s="155"/>
    </row>
    <row r="115" spans="3:13" ht="14.1" customHeight="1">
      <c r="C115" s="159"/>
      <c r="D115" s="155"/>
      <c r="E115" s="155"/>
      <c r="F115" s="155"/>
      <c r="G115" s="155"/>
      <c r="H115" s="155"/>
      <c r="I115" s="155"/>
      <c r="J115" s="155"/>
      <c r="K115" s="155"/>
      <c r="L115" s="155"/>
      <c r="M115" s="155"/>
    </row>
    <row r="116" spans="3:13" ht="14.1" customHeight="1">
      <c r="C116" s="159"/>
      <c r="D116" s="155"/>
      <c r="E116" s="155"/>
      <c r="F116" s="155"/>
      <c r="G116" s="155"/>
      <c r="H116" s="155"/>
      <c r="I116" s="155"/>
      <c r="J116" s="155"/>
      <c r="K116" s="155"/>
      <c r="L116" s="155"/>
      <c r="M116" s="155"/>
    </row>
    <row r="117" spans="3:13" ht="14.1" customHeight="1">
      <c r="C117" s="159"/>
      <c r="D117" s="155"/>
      <c r="E117" s="155"/>
      <c r="F117" s="155"/>
      <c r="G117" s="155"/>
      <c r="H117" s="155"/>
      <c r="I117" s="155"/>
      <c r="J117" s="155"/>
      <c r="K117" s="155"/>
      <c r="L117" s="155"/>
      <c r="M117" s="155"/>
    </row>
    <row r="118" spans="3:13" ht="14.1" customHeight="1">
      <c r="C118" s="159"/>
      <c r="D118" s="155"/>
      <c r="E118" s="155"/>
      <c r="F118" s="155"/>
      <c r="G118" s="155"/>
      <c r="H118" s="155"/>
      <c r="I118" s="155"/>
      <c r="J118" s="155"/>
      <c r="K118" s="155"/>
      <c r="L118" s="155"/>
      <c r="M118" s="155"/>
    </row>
    <row r="119" spans="3:13" ht="14.1" customHeight="1">
      <c r="C119" s="159"/>
      <c r="D119" s="155"/>
      <c r="E119" s="155"/>
      <c r="F119" s="155"/>
      <c r="G119" s="155"/>
      <c r="H119" s="155"/>
      <c r="I119" s="155"/>
      <c r="J119" s="155"/>
      <c r="K119" s="155"/>
      <c r="L119" s="155"/>
      <c r="M119" s="155"/>
    </row>
    <row r="120" spans="3:13" ht="14.1" customHeight="1">
      <c r="C120" s="159"/>
      <c r="D120" s="155"/>
      <c r="E120" s="155"/>
      <c r="F120" s="155"/>
      <c r="G120" s="155"/>
      <c r="H120" s="155"/>
      <c r="I120" s="155"/>
      <c r="J120" s="155"/>
      <c r="K120" s="155"/>
      <c r="L120" s="155"/>
      <c r="M120" s="155"/>
    </row>
    <row r="121" spans="3:13" ht="14.1" customHeight="1">
      <c r="C121" s="159"/>
      <c r="D121" s="155"/>
      <c r="E121" s="155"/>
      <c r="F121" s="155"/>
      <c r="G121" s="155"/>
      <c r="H121" s="155"/>
      <c r="I121" s="155"/>
      <c r="J121" s="155"/>
      <c r="K121" s="155"/>
      <c r="L121" s="155"/>
      <c r="M121" s="155"/>
    </row>
    <row r="122" spans="3:13" ht="14.1" customHeight="1">
      <c r="C122" s="159"/>
      <c r="D122" s="155"/>
      <c r="E122" s="155"/>
      <c r="F122" s="155"/>
      <c r="G122" s="155"/>
      <c r="H122" s="155"/>
      <c r="I122" s="155"/>
      <c r="J122" s="155"/>
      <c r="K122" s="155"/>
      <c r="L122" s="155"/>
      <c r="M122" s="155"/>
    </row>
    <row r="123" spans="3:13" ht="14.1" customHeight="1">
      <c r="C123" s="159"/>
      <c r="D123" s="155"/>
      <c r="E123" s="155"/>
      <c r="F123" s="155"/>
      <c r="G123" s="155"/>
      <c r="H123" s="155"/>
      <c r="I123" s="155"/>
      <c r="J123" s="155"/>
      <c r="K123" s="155"/>
      <c r="L123" s="155"/>
      <c r="M123" s="155"/>
    </row>
    <row r="124" spans="3:13" ht="14.1" customHeight="1">
      <c r="C124" s="159"/>
      <c r="D124" s="155"/>
      <c r="E124" s="155"/>
      <c r="F124" s="155"/>
      <c r="G124" s="155"/>
      <c r="H124" s="155"/>
      <c r="I124" s="155"/>
      <c r="J124" s="155"/>
      <c r="K124" s="155"/>
      <c r="L124" s="155"/>
      <c r="M124" s="155"/>
    </row>
    <row r="125" spans="3:13" ht="14.1" customHeight="1">
      <c r="C125" s="159"/>
      <c r="D125" s="155"/>
      <c r="E125" s="155"/>
      <c r="F125" s="155"/>
      <c r="G125" s="155"/>
      <c r="H125" s="155"/>
      <c r="I125" s="155"/>
      <c r="J125" s="155"/>
      <c r="K125" s="155"/>
      <c r="L125" s="155"/>
      <c r="M125" s="155"/>
    </row>
    <row r="126" spans="3:13" ht="14.1" customHeight="1">
      <c r="C126" s="159"/>
      <c r="D126" s="155"/>
      <c r="E126" s="155"/>
      <c r="F126" s="155"/>
      <c r="G126" s="155"/>
      <c r="H126" s="155"/>
      <c r="I126" s="155"/>
      <c r="J126" s="155"/>
      <c r="K126" s="155"/>
      <c r="L126" s="155"/>
      <c r="M126" s="155"/>
    </row>
    <row r="127" spans="3:13" ht="14.1" customHeight="1">
      <c r="C127" s="159"/>
      <c r="D127" s="155"/>
      <c r="E127" s="155"/>
      <c r="F127" s="155"/>
      <c r="G127" s="155"/>
      <c r="H127" s="155"/>
      <c r="I127" s="155"/>
      <c r="J127" s="155"/>
      <c r="K127" s="155"/>
      <c r="L127" s="155"/>
      <c r="M127" s="155"/>
    </row>
    <row r="128" spans="3:13" ht="14.1" customHeight="1">
      <c r="C128" s="159"/>
      <c r="D128" s="155"/>
      <c r="E128" s="155"/>
      <c r="F128" s="155"/>
      <c r="G128" s="155"/>
      <c r="H128" s="155"/>
      <c r="I128" s="155"/>
      <c r="J128" s="155"/>
      <c r="K128" s="155"/>
      <c r="L128" s="155"/>
      <c r="M128" s="155"/>
    </row>
    <row r="129" spans="3:13" ht="14.1" customHeight="1">
      <c r="C129" s="159"/>
      <c r="D129" s="155"/>
      <c r="E129" s="155"/>
      <c r="F129" s="155"/>
      <c r="G129" s="155"/>
      <c r="H129" s="155"/>
      <c r="I129" s="155"/>
      <c r="J129" s="155"/>
      <c r="K129" s="155"/>
      <c r="L129" s="155"/>
      <c r="M129" s="155"/>
    </row>
    <row r="130" spans="3:13" ht="14.1" customHeight="1">
      <c r="C130" s="159"/>
      <c r="D130" s="155"/>
      <c r="E130" s="155"/>
      <c r="F130" s="155"/>
      <c r="G130" s="155"/>
      <c r="H130" s="155"/>
      <c r="I130" s="155"/>
      <c r="J130" s="155"/>
      <c r="K130" s="155"/>
      <c r="L130" s="155"/>
      <c r="M130" s="155"/>
    </row>
    <row r="131" spans="3:13" ht="14.1" customHeight="1">
      <c r="C131" s="159"/>
      <c r="D131" s="155"/>
      <c r="E131" s="155"/>
      <c r="F131" s="155"/>
      <c r="G131" s="155"/>
      <c r="H131" s="155"/>
      <c r="I131" s="155"/>
      <c r="J131" s="155"/>
      <c r="K131" s="155"/>
      <c r="L131" s="155"/>
      <c r="M131" s="155"/>
    </row>
    <row r="132" spans="3:13" ht="14.1" customHeight="1">
      <c r="C132" s="159"/>
      <c r="D132" s="155"/>
      <c r="E132" s="155"/>
      <c r="F132" s="155"/>
      <c r="G132" s="155"/>
      <c r="H132" s="155"/>
      <c r="I132" s="155"/>
      <c r="J132" s="155"/>
      <c r="K132" s="155"/>
      <c r="L132" s="155"/>
      <c r="M132" s="155"/>
    </row>
    <row r="133" spans="3:13" ht="14.1" customHeight="1">
      <c r="C133" s="159"/>
      <c r="D133" s="155"/>
      <c r="E133" s="155"/>
      <c r="F133" s="155"/>
      <c r="G133" s="155"/>
      <c r="H133" s="155"/>
      <c r="I133" s="155"/>
      <c r="J133" s="155"/>
      <c r="K133" s="155"/>
      <c r="L133" s="155"/>
      <c r="M133" s="155"/>
    </row>
    <row r="134" spans="3:13" ht="14.1" customHeight="1">
      <c r="C134" s="159"/>
      <c r="D134" s="155"/>
      <c r="E134" s="155"/>
      <c r="F134" s="155"/>
      <c r="G134" s="155"/>
      <c r="H134" s="155"/>
      <c r="I134" s="155"/>
      <c r="J134" s="155"/>
      <c r="K134" s="155"/>
      <c r="L134" s="155"/>
      <c r="M134" s="155"/>
    </row>
    <row r="135" spans="3:13" ht="14.1" customHeight="1">
      <c r="C135" s="159"/>
      <c r="D135" s="155"/>
      <c r="E135" s="155"/>
      <c r="F135" s="155"/>
      <c r="G135" s="155"/>
      <c r="H135" s="155"/>
      <c r="I135" s="155"/>
      <c r="J135" s="155"/>
      <c r="K135" s="155"/>
      <c r="L135" s="155"/>
      <c r="M135" s="155"/>
    </row>
    <row r="136" spans="3:13" ht="14.1" customHeight="1">
      <c r="C136" s="159"/>
      <c r="D136" s="155"/>
      <c r="E136" s="155"/>
      <c r="F136" s="155"/>
      <c r="G136" s="155"/>
      <c r="H136" s="155"/>
      <c r="I136" s="155"/>
      <c r="J136" s="155"/>
      <c r="K136" s="155"/>
      <c r="L136" s="155"/>
      <c r="M136" s="155"/>
    </row>
    <row r="137" spans="3:13" ht="14.1" customHeight="1">
      <c r="C137" s="159"/>
      <c r="D137" s="155"/>
      <c r="E137" s="155"/>
      <c r="F137" s="155"/>
      <c r="G137" s="155"/>
      <c r="H137" s="155"/>
      <c r="I137" s="155"/>
      <c r="J137" s="155"/>
      <c r="K137" s="155"/>
      <c r="L137" s="155"/>
      <c r="M137" s="155"/>
    </row>
    <row r="138" spans="3:13" ht="14.1" customHeight="1">
      <c r="C138" s="159"/>
      <c r="D138" s="155"/>
      <c r="E138" s="155"/>
      <c r="F138" s="155"/>
      <c r="G138" s="155"/>
      <c r="H138" s="155"/>
      <c r="I138" s="155"/>
      <c r="J138" s="155"/>
      <c r="K138" s="155"/>
      <c r="L138" s="155"/>
      <c r="M138" s="155"/>
    </row>
    <row r="139" spans="3:13" ht="14.1" customHeight="1">
      <c r="C139" s="159"/>
      <c r="D139" s="155"/>
      <c r="E139" s="155"/>
      <c r="F139" s="155"/>
      <c r="G139" s="155"/>
      <c r="H139" s="155"/>
      <c r="I139" s="155"/>
      <c r="J139" s="155"/>
      <c r="K139" s="155"/>
      <c r="L139" s="155"/>
      <c r="M139" s="155"/>
    </row>
    <row r="140" spans="3:13" ht="14.1" customHeight="1">
      <c r="C140" s="159"/>
      <c r="D140" s="155"/>
      <c r="E140" s="155"/>
      <c r="F140" s="155"/>
      <c r="G140" s="155"/>
      <c r="H140" s="155"/>
      <c r="I140" s="155"/>
      <c r="J140" s="155"/>
      <c r="K140" s="155"/>
      <c r="L140" s="155"/>
      <c r="M140" s="155"/>
    </row>
    <row r="141" spans="3:13" ht="14.1" customHeight="1">
      <c r="C141" s="159"/>
      <c r="D141" s="155"/>
      <c r="E141" s="155"/>
      <c r="F141" s="155"/>
      <c r="G141" s="155"/>
      <c r="H141" s="155"/>
      <c r="I141" s="155"/>
      <c r="J141" s="155"/>
      <c r="K141" s="155"/>
      <c r="L141" s="155"/>
      <c r="M141" s="155"/>
    </row>
    <row r="142" spans="3:13" ht="14.1" customHeight="1">
      <c r="C142" s="159"/>
      <c r="D142" s="155"/>
      <c r="E142" s="155"/>
      <c r="F142" s="155"/>
      <c r="G142" s="155"/>
      <c r="H142" s="155"/>
      <c r="I142" s="155"/>
      <c r="J142" s="155"/>
      <c r="K142" s="155"/>
      <c r="L142" s="155"/>
      <c r="M142" s="155"/>
    </row>
    <row r="143" spans="3:13" ht="14.1" customHeight="1">
      <c r="C143" s="159"/>
      <c r="D143" s="155"/>
      <c r="E143" s="155"/>
      <c r="F143" s="155"/>
      <c r="G143" s="155"/>
      <c r="H143" s="155"/>
      <c r="I143" s="155"/>
      <c r="J143" s="155"/>
      <c r="K143" s="155"/>
      <c r="L143" s="155"/>
      <c r="M143" s="155"/>
    </row>
    <row r="144" spans="3:13" ht="14.1" customHeight="1">
      <c r="C144" s="159"/>
      <c r="D144" s="160"/>
      <c r="E144" s="160"/>
      <c r="F144" s="160"/>
      <c r="G144" s="160"/>
      <c r="H144" s="160"/>
      <c r="I144" s="160"/>
      <c r="J144" s="160"/>
      <c r="K144" s="160"/>
      <c r="L144" s="160"/>
      <c r="M144" s="160"/>
    </row>
    <row r="145" spans="3:13" ht="14.1" customHeight="1">
      <c r="C145" s="159"/>
      <c r="D145" s="160"/>
      <c r="E145" s="160"/>
      <c r="F145" s="160"/>
      <c r="G145" s="160"/>
      <c r="H145" s="160"/>
      <c r="I145" s="160"/>
      <c r="J145" s="160"/>
      <c r="K145" s="160"/>
      <c r="L145" s="160"/>
      <c r="M145" s="160"/>
    </row>
    <row r="146" spans="3:13" ht="14.1" customHeight="1">
      <c r="C146" s="159"/>
      <c r="D146" s="160"/>
      <c r="E146" s="160"/>
      <c r="F146" s="160"/>
      <c r="G146" s="160"/>
      <c r="H146" s="160"/>
      <c r="I146" s="160"/>
      <c r="J146" s="160"/>
      <c r="K146" s="160"/>
      <c r="L146" s="160"/>
      <c r="M146" s="160"/>
    </row>
    <row r="147" spans="3:13" ht="14.1" customHeight="1">
      <c r="C147" s="159"/>
      <c r="D147" s="155"/>
      <c r="E147" s="155"/>
      <c r="F147" s="155"/>
      <c r="G147" s="155"/>
      <c r="H147" s="155"/>
      <c r="I147" s="155"/>
      <c r="J147" s="155"/>
      <c r="K147" s="155"/>
      <c r="L147" s="155"/>
      <c r="M147" s="155"/>
    </row>
    <row r="148" spans="3:13" ht="14.1" customHeight="1">
      <c r="C148" s="159"/>
      <c r="D148" s="155"/>
      <c r="E148" s="155"/>
      <c r="F148" s="155"/>
      <c r="G148" s="155"/>
      <c r="H148" s="155"/>
      <c r="I148" s="155"/>
      <c r="J148" s="155"/>
      <c r="K148" s="155"/>
      <c r="L148" s="155"/>
      <c r="M148" s="155"/>
    </row>
    <row r="149" spans="3:13" ht="14.1" customHeight="1">
      <c r="C149" s="159"/>
      <c r="D149" s="155"/>
      <c r="E149" s="155"/>
      <c r="F149" s="155"/>
      <c r="G149" s="155"/>
      <c r="H149" s="155"/>
      <c r="I149" s="155"/>
      <c r="J149" s="155"/>
      <c r="K149" s="155"/>
      <c r="L149" s="155"/>
      <c r="M149" s="155"/>
    </row>
    <row r="150" spans="3:13" ht="14.1" customHeight="1">
      <c r="C150" s="159"/>
      <c r="D150" s="155"/>
      <c r="E150" s="155"/>
      <c r="F150" s="155"/>
      <c r="G150" s="155"/>
      <c r="H150" s="155"/>
      <c r="I150" s="155"/>
      <c r="J150" s="155"/>
      <c r="K150" s="155"/>
      <c r="L150" s="155"/>
      <c r="M150" s="155"/>
    </row>
    <row r="151" spans="3:13" ht="14.1" customHeight="1">
      <c r="C151" s="159"/>
      <c r="D151" s="155"/>
      <c r="E151" s="155"/>
      <c r="F151" s="155"/>
      <c r="G151" s="155"/>
      <c r="H151" s="155"/>
      <c r="I151" s="155"/>
      <c r="J151" s="155"/>
      <c r="K151" s="155"/>
      <c r="L151" s="155"/>
      <c r="M151" s="155"/>
    </row>
    <row r="152" spans="3:13" ht="14.1" customHeight="1">
      <c r="C152" s="159"/>
      <c r="D152" s="155"/>
      <c r="E152" s="155"/>
      <c r="F152" s="155"/>
      <c r="G152" s="155"/>
      <c r="H152" s="155"/>
      <c r="I152" s="155"/>
      <c r="J152" s="155"/>
      <c r="K152" s="155"/>
      <c r="L152" s="155"/>
      <c r="M152" s="155"/>
    </row>
    <row r="153" spans="3:13" ht="14.1" customHeight="1">
      <c r="C153" s="159"/>
      <c r="D153" s="155"/>
      <c r="E153" s="155"/>
      <c r="F153" s="155"/>
      <c r="G153" s="155"/>
      <c r="H153" s="155"/>
      <c r="I153" s="155"/>
      <c r="J153" s="155"/>
      <c r="K153" s="155"/>
      <c r="L153" s="155"/>
      <c r="M153" s="155"/>
    </row>
    <row r="154" spans="3:13" ht="14.1" customHeight="1">
      <c r="C154" s="159"/>
      <c r="D154" s="155"/>
      <c r="E154" s="155"/>
      <c r="F154" s="155"/>
      <c r="G154" s="155"/>
      <c r="H154" s="155"/>
      <c r="I154" s="155"/>
      <c r="J154" s="155"/>
      <c r="K154" s="155"/>
      <c r="L154" s="155"/>
      <c r="M154" s="155"/>
    </row>
    <row r="155" spans="3:13" ht="14.1" customHeight="1">
      <c r="C155" s="159"/>
      <c r="D155" s="155"/>
      <c r="E155" s="155"/>
      <c r="F155" s="155"/>
      <c r="G155" s="155"/>
      <c r="H155" s="155"/>
      <c r="I155" s="155"/>
      <c r="J155" s="155"/>
      <c r="K155" s="155"/>
      <c r="L155" s="155"/>
      <c r="M155" s="155"/>
    </row>
    <row r="156" spans="3:13" ht="14.1" customHeight="1">
      <c r="C156" s="159"/>
      <c r="D156" s="155"/>
      <c r="E156" s="155"/>
      <c r="F156" s="155"/>
      <c r="G156" s="155"/>
      <c r="H156" s="155"/>
      <c r="I156" s="155"/>
      <c r="J156" s="155"/>
      <c r="K156" s="155"/>
      <c r="L156" s="155"/>
      <c r="M156" s="155"/>
    </row>
    <row r="157" spans="3:13" ht="14.1" customHeight="1">
      <c r="C157" s="159"/>
      <c r="D157" s="155"/>
      <c r="E157" s="155"/>
      <c r="F157" s="155"/>
      <c r="G157" s="155"/>
      <c r="H157" s="155"/>
      <c r="I157" s="155"/>
      <c r="J157" s="155"/>
      <c r="K157" s="155"/>
      <c r="L157" s="155"/>
      <c r="M157" s="155"/>
    </row>
    <row r="158" spans="3:13" ht="14.1" customHeight="1">
      <c r="C158" s="159"/>
      <c r="D158" s="155"/>
      <c r="E158" s="155"/>
      <c r="F158" s="155"/>
      <c r="G158" s="155"/>
      <c r="H158" s="155"/>
      <c r="I158" s="155"/>
      <c r="J158" s="155"/>
      <c r="K158" s="155"/>
      <c r="L158" s="155"/>
      <c r="M158" s="155"/>
    </row>
    <row r="159" spans="3:13" ht="14.1" customHeight="1">
      <c r="C159" s="159"/>
      <c r="D159" s="155"/>
      <c r="E159" s="155"/>
      <c r="F159" s="155"/>
      <c r="G159" s="155"/>
      <c r="H159" s="155"/>
      <c r="I159" s="155"/>
      <c r="J159" s="155"/>
      <c r="K159" s="155"/>
      <c r="L159" s="155"/>
      <c r="M159" s="155"/>
    </row>
    <row r="160" spans="3:13" ht="14.1" customHeight="1">
      <c r="C160" s="159"/>
      <c r="D160" s="155"/>
      <c r="E160" s="155"/>
      <c r="F160" s="155"/>
      <c r="G160" s="155"/>
      <c r="H160" s="155"/>
      <c r="I160" s="155"/>
      <c r="J160" s="155"/>
      <c r="K160" s="155"/>
      <c r="L160" s="155"/>
      <c r="M160" s="155"/>
    </row>
    <row r="161" spans="3:13" ht="14.1" customHeight="1">
      <c r="C161" s="159"/>
      <c r="D161" s="155"/>
      <c r="E161" s="155"/>
      <c r="F161" s="155"/>
      <c r="G161" s="155"/>
      <c r="H161" s="155"/>
      <c r="I161" s="155"/>
      <c r="J161" s="155"/>
      <c r="K161" s="155"/>
      <c r="L161" s="155"/>
      <c r="M161" s="155"/>
    </row>
    <row r="162" spans="3:13" ht="14.1" customHeight="1">
      <c r="C162" s="159"/>
      <c r="D162" s="155"/>
      <c r="E162" s="155"/>
      <c r="F162" s="155"/>
      <c r="G162" s="155"/>
      <c r="H162" s="155"/>
      <c r="I162" s="155"/>
      <c r="J162" s="155"/>
      <c r="K162" s="155"/>
      <c r="L162" s="155"/>
      <c r="M162" s="155"/>
    </row>
    <row r="163" spans="3:13" ht="14.1" customHeight="1">
      <c r="C163" s="159"/>
      <c r="D163" s="155"/>
      <c r="E163" s="155"/>
      <c r="F163" s="155"/>
      <c r="G163" s="155"/>
      <c r="H163" s="155"/>
      <c r="I163" s="155"/>
      <c r="J163" s="155"/>
      <c r="K163" s="155"/>
      <c r="L163" s="155"/>
      <c r="M163" s="155"/>
    </row>
    <row r="164" spans="3:13" ht="14.1" customHeight="1">
      <c r="C164" s="159"/>
      <c r="D164" s="155"/>
      <c r="E164" s="155"/>
      <c r="F164" s="155"/>
      <c r="G164" s="155"/>
      <c r="H164" s="155"/>
      <c r="I164" s="155"/>
      <c r="J164" s="155"/>
      <c r="K164" s="155"/>
      <c r="L164" s="155"/>
      <c r="M164" s="155"/>
    </row>
    <row r="165" spans="3:13" ht="14.1" customHeight="1">
      <c r="C165" s="159"/>
      <c r="D165" s="155"/>
      <c r="E165" s="155"/>
      <c r="F165" s="155"/>
      <c r="G165" s="155"/>
      <c r="H165" s="155"/>
      <c r="I165" s="155"/>
      <c r="J165" s="155"/>
      <c r="K165" s="155"/>
      <c r="L165" s="155"/>
      <c r="M165" s="155"/>
    </row>
    <row r="166" spans="3:13" ht="14.1" customHeight="1">
      <c r="C166" s="159"/>
      <c r="D166" s="155"/>
      <c r="E166" s="155"/>
      <c r="F166" s="155"/>
      <c r="G166" s="155"/>
      <c r="H166" s="155"/>
      <c r="I166" s="155"/>
      <c r="J166" s="155"/>
      <c r="K166" s="155"/>
      <c r="L166" s="155"/>
      <c r="M166" s="155"/>
    </row>
    <row r="167" spans="3:13" ht="14.1" customHeight="1">
      <c r="C167" s="159"/>
      <c r="D167" s="155"/>
      <c r="E167" s="155"/>
      <c r="F167" s="155"/>
      <c r="G167" s="155"/>
      <c r="H167" s="155"/>
      <c r="I167" s="155"/>
      <c r="J167" s="155"/>
      <c r="K167" s="155"/>
      <c r="L167" s="155"/>
      <c r="M167" s="155"/>
    </row>
    <row r="168" spans="3:13" ht="14.1" customHeight="1">
      <c r="C168" s="159"/>
      <c r="D168" s="155"/>
      <c r="E168" s="155"/>
      <c r="F168" s="155"/>
      <c r="G168" s="155"/>
      <c r="H168" s="155"/>
      <c r="I168" s="155"/>
      <c r="J168" s="155"/>
      <c r="K168" s="155"/>
      <c r="L168" s="155"/>
      <c r="M168" s="155"/>
    </row>
    <row r="169" spans="3:13" ht="14.1" customHeight="1">
      <c r="C169" s="159"/>
      <c r="D169" s="155"/>
      <c r="E169" s="155"/>
      <c r="F169" s="155"/>
      <c r="G169" s="155"/>
      <c r="H169" s="155"/>
      <c r="I169" s="155"/>
      <c r="J169" s="155"/>
      <c r="K169" s="155"/>
      <c r="L169" s="155"/>
      <c r="M169" s="155"/>
    </row>
    <row r="170" spans="3:13" ht="14.1" customHeight="1">
      <c r="C170" s="159"/>
      <c r="D170" s="155"/>
      <c r="E170" s="155"/>
      <c r="F170" s="155"/>
      <c r="G170" s="155"/>
      <c r="H170" s="155"/>
      <c r="I170" s="155"/>
      <c r="J170" s="155"/>
      <c r="K170" s="155"/>
      <c r="L170" s="155"/>
      <c r="M170" s="155"/>
    </row>
    <row r="171" spans="3:13" ht="14.1" customHeight="1">
      <c r="C171" s="159"/>
      <c r="D171" s="155"/>
      <c r="E171" s="155"/>
      <c r="F171" s="155"/>
      <c r="G171" s="155"/>
      <c r="H171" s="155"/>
      <c r="I171" s="155"/>
      <c r="J171" s="155"/>
      <c r="K171" s="155"/>
      <c r="L171" s="155"/>
      <c r="M171" s="155"/>
    </row>
    <row r="172" spans="3:13" ht="14.1" customHeight="1">
      <c r="C172" s="159"/>
      <c r="D172" s="155"/>
      <c r="E172" s="155"/>
      <c r="F172" s="155"/>
      <c r="G172" s="155"/>
      <c r="H172" s="155"/>
      <c r="I172" s="155"/>
      <c r="J172" s="155"/>
      <c r="K172" s="155"/>
      <c r="L172" s="155"/>
      <c r="M172" s="155"/>
    </row>
    <row r="173" spans="3:13" ht="14.1" customHeight="1">
      <c r="C173" s="159"/>
      <c r="D173" s="155"/>
      <c r="E173" s="155"/>
      <c r="F173" s="155"/>
      <c r="G173" s="155"/>
      <c r="H173" s="155"/>
      <c r="I173" s="155"/>
      <c r="J173" s="155"/>
      <c r="K173" s="155"/>
      <c r="L173" s="155"/>
      <c r="M173" s="155"/>
    </row>
    <row r="174" spans="3:13" ht="14.1" customHeight="1">
      <c r="C174" s="159"/>
      <c r="D174" s="155"/>
      <c r="E174" s="155"/>
      <c r="F174" s="155"/>
      <c r="G174" s="155"/>
      <c r="H174" s="155"/>
      <c r="I174" s="155"/>
      <c r="J174" s="155"/>
      <c r="K174" s="155"/>
      <c r="L174" s="155"/>
      <c r="M174" s="155"/>
    </row>
    <row r="175" spans="3:13" ht="14.1" customHeight="1">
      <c r="C175" s="159"/>
      <c r="D175" s="155"/>
      <c r="E175" s="155"/>
      <c r="F175" s="155"/>
      <c r="G175" s="155"/>
      <c r="H175" s="155"/>
      <c r="I175" s="155"/>
      <c r="J175" s="155"/>
      <c r="K175" s="155"/>
      <c r="L175" s="155"/>
      <c r="M175" s="155"/>
    </row>
    <row r="176" spans="3:13" ht="14.1" customHeight="1">
      <c r="C176" s="159"/>
      <c r="D176" s="155"/>
      <c r="E176" s="155"/>
      <c r="F176" s="155"/>
      <c r="G176" s="155"/>
      <c r="H176" s="155"/>
      <c r="I176" s="155"/>
      <c r="J176" s="155"/>
      <c r="K176" s="155"/>
      <c r="L176" s="155"/>
      <c r="M176" s="155"/>
    </row>
    <row r="177" spans="3:13" ht="14.1" customHeight="1">
      <c r="C177" s="159"/>
      <c r="D177" s="155"/>
      <c r="E177" s="155"/>
      <c r="F177" s="155"/>
      <c r="G177" s="155"/>
      <c r="H177" s="155"/>
      <c r="I177" s="155"/>
      <c r="J177" s="155"/>
      <c r="K177" s="155"/>
      <c r="L177" s="155"/>
      <c r="M177" s="155"/>
    </row>
    <row r="178" spans="3:13" ht="14.1" customHeight="1">
      <c r="C178" s="159"/>
      <c r="D178" s="155"/>
      <c r="E178" s="155"/>
      <c r="F178" s="155"/>
      <c r="G178" s="155"/>
      <c r="H178" s="155"/>
      <c r="I178" s="155"/>
      <c r="J178" s="155"/>
      <c r="K178" s="155"/>
      <c r="L178" s="155"/>
      <c r="M178" s="155"/>
    </row>
    <row r="179" spans="3:13" ht="14.1" customHeight="1">
      <c r="C179" s="159"/>
      <c r="D179" s="155"/>
      <c r="E179" s="155"/>
      <c r="F179" s="155"/>
      <c r="G179" s="155"/>
      <c r="H179" s="155"/>
      <c r="I179" s="155"/>
      <c r="J179" s="155"/>
      <c r="K179" s="155"/>
      <c r="L179" s="155"/>
      <c r="M179" s="155"/>
    </row>
    <row r="180" spans="3:13" ht="14.1" customHeight="1">
      <c r="C180" s="159"/>
      <c r="D180" s="155"/>
      <c r="E180" s="155"/>
      <c r="F180" s="155"/>
      <c r="G180" s="155"/>
      <c r="H180" s="155"/>
      <c r="I180" s="155"/>
      <c r="J180" s="155"/>
      <c r="K180" s="155"/>
      <c r="L180" s="155"/>
      <c r="M180" s="155"/>
    </row>
    <row r="181" spans="3:13" ht="14.1" customHeight="1">
      <c r="C181" s="159"/>
      <c r="D181" s="155"/>
      <c r="E181" s="155"/>
      <c r="F181" s="155"/>
      <c r="G181" s="155"/>
      <c r="H181" s="155"/>
      <c r="I181" s="155"/>
      <c r="J181" s="155"/>
      <c r="K181" s="155"/>
      <c r="L181" s="155"/>
      <c r="M181" s="155"/>
    </row>
    <row r="182" spans="3:13" ht="14.1" customHeight="1">
      <c r="C182" s="159"/>
      <c r="D182" s="155"/>
      <c r="E182" s="155"/>
      <c r="F182" s="155"/>
      <c r="G182" s="155"/>
      <c r="H182" s="155"/>
      <c r="I182" s="155"/>
      <c r="J182" s="155"/>
      <c r="K182" s="155"/>
      <c r="L182" s="155"/>
      <c r="M182" s="155"/>
    </row>
    <row r="183" spans="3:13" ht="14.1" customHeight="1">
      <c r="C183" s="159"/>
      <c r="D183" s="155"/>
      <c r="E183" s="155"/>
      <c r="F183" s="155"/>
      <c r="G183" s="155"/>
      <c r="H183" s="155"/>
      <c r="I183" s="155"/>
      <c r="J183" s="155"/>
      <c r="K183" s="155"/>
      <c r="L183" s="155"/>
      <c r="M183" s="155"/>
    </row>
    <row r="184" spans="3:13" ht="14.1" customHeight="1">
      <c r="C184" s="159"/>
      <c r="D184" s="155"/>
      <c r="E184" s="155"/>
      <c r="F184" s="155"/>
      <c r="G184" s="155"/>
      <c r="H184" s="155"/>
      <c r="I184" s="155"/>
      <c r="J184" s="155"/>
      <c r="K184" s="155"/>
      <c r="L184" s="155"/>
      <c r="M184" s="155"/>
    </row>
    <row r="185" spans="3:13" ht="14.1" customHeight="1">
      <c r="C185" s="159"/>
      <c r="D185" s="155"/>
      <c r="E185" s="155"/>
      <c r="F185" s="155"/>
      <c r="G185" s="155"/>
      <c r="H185" s="155"/>
      <c r="I185" s="155"/>
      <c r="J185" s="155"/>
      <c r="K185" s="155"/>
      <c r="L185" s="155"/>
      <c r="M185" s="155"/>
    </row>
    <row r="186" spans="3:13" ht="14.1" customHeight="1">
      <c r="C186" s="159"/>
      <c r="D186" s="155"/>
      <c r="E186" s="155"/>
      <c r="F186" s="155"/>
      <c r="G186" s="155"/>
      <c r="H186" s="155"/>
      <c r="I186" s="155"/>
      <c r="J186" s="155"/>
      <c r="K186" s="155"/>
      <c r="L186" s="155"/>
      <c r="M186" s="155"/>
    </row>
    <row r="187" spans="3:13" ht="14.1" customHeight="1">
      <c r="C187" s="159"/>
      <c r="D187" s="160"/>
      <c r="E187" s="160"/>
      <c r="F187" s="160"/>
      <c r="G187" s="160"/>
      <c r="H187" s="160"/>
      <c r="I187" s="160"/>
      <c r="J187" s="160"/>
      <c r="K187" s="160"/>
      <c r="L187" s="160"/>
      <c r="M187" s="160"/>
    </row>
    <row r="188" spans="3:13" ht="14.1" customHeight="1">
      <c r="C188" s="159"/>
      <c r="D188" s="160"/>
      <c r="E188" s="160"/>
      <c r="F188" s="160"/>
      <c r="G188" s="160"/>
      <c r="H188" s="160"/>
      <c r="I188" s="160"/>
      <c r="J188" s="160"/>
      <c r="K188" s="160"/>
      <c r="L188" s="160"/>
      <c r="M188" s="160"/>
    </row>
    <row r="189" spans="3:13" ht="14.1" customHeight="1">
      <c r="C189" s="159"/>
      <c r="D189" s="160"/>
      <c r="E189" s="160"/>
      <c r="F189" s="160"/>
      <c r="G189" s="160"/>
      <c r="H189" s="160"/>
      <c r="I189" s="160"/>
      <c r="J189" s="160"/>
      <c r="K189" s="160"/>
      <c r="L189" s="160"/>
      <c r="M189" s="160"/>
    </row>
    <row r="190" spans="3:13" ht="14.1" customHeight="1">
      <c r="C190" s="159"/>
      <c r="D190" s="155"/>
      <c r="E190" s="155"/>
      <c r="F190" s="155"/>
      <c r="G190" s="155"/>
      <c r="H190" s="155"/>
      <c r="I190" s="155"/>
      <c r="J190" s="155"/>
      <c r="K190" s="155"/>
      <c r="L190" s="155"/>
      <c r="M190" s="155"/>
    </row>
    <row r="191" spans="3:13" ht="14.1" customHeight="1">
      <c r="C191" s="159"/>
      <c r="D191" s="155"/>
      <c r="E191" s="155"/>
      <c r="F191" s="155"/>
      <c r="G191" s="155"/>
      <c r="H191" s="155"/>
      <c r="I191" s="155"/>
      <c r="J191" s="155"/>
      <c r="K191" s="155"/>
      <c r="L191" s="155"/>
      <c r="M191" s="155"/>
    </row>
    <row r="192" spans="3:13" ht="14.1" customHeight="1">
      <c r="C192" s="159"/>
      <c r="D192" s="155"/>
      <c r="E192" s="155"/>
      <c r="F192" s="155"/>
      <c r="G192" s="155"/>
      <c r="H192" s="155"/>
      <c r="I192" s="155"/>
      <c r="J192" s="155"/>
      <c r="K192" s="155"/>
      <c r="L192" s="155"/>
      <c r="M192" s="155"/>
    </row>
    <row r="193" spans="3:13" ht="14.1" customHeight="1">
      <c r="C193" s="159"/>
      <c r="D193" s="155"/>
      <c r="E193" s="155"/>
      <c r="F193" s="155"/>
      <c r="G193" s="155"/>
      <c r="H193" s="155"/>
      <c r="I193" s="155"/>
      <c r="J193" s="155"/>
      <c r="K193" s="155"/>
      <c r="L193" s="155"/>
      <c r="M193" s="155"/>
    </row>
    <row r="194" spans="3:13" ht="14.1" customHeight="1">
      <c r="C194" s="159"/>
      <c r="D194" s="155"/>
      <c r="E194" s="155"/>
      <c r="F194" s="155"/>
      <c r="G194" s="155"/>
      <c r="H194" s="155"/>
      <c r="I194" s="155"/>
      <c r="J194" s="155"/>
      <c r="K194" s="155"/>
      <c r="L194" s="155"/>
      <c r="M194" s="155"/>
    </row>
    <row r="195" spans="3:13" ht="14.1" customHeight="1">
      <c r="C195" s="159"/>
      <c r="D195" s="155"/>
      <c r="E195" s="155"/>
      <c r="F195" s="155"/>
      <c r="G195" s="155"/>
      <c r="H195" s="155"/>
      <c r="I195" s="155"/>
      <c r="J195" s="155"/>
      <c r="K195" s="155"/>
      <c r="L195" s="155"/>
      <c r="M195" s="155"/>
    </row>
    <row r="196" spans="3:13" ht="14.1" customHeight="1">
      <c r="C196" s="159"/>
      <c r="D196" s="155"/>
      <c r="E196" s="155"/>
      <c r="F196" s="155"/>
      <c r="G196" s="155"/>
      <c r="H196" s="155"/>
      <c r="I196" s="155"/>
      <c r="J196" s="155"/>
      <c r="K196" s="155"/>
      <c r="L196" s="155"/>
      <c r="M196" s="155"/>
    </row>
    <row r="197" spans="3:13" ht="14.1" customHeight="1">
      <c r="C197" s="159"/>
      <c r="D197" s="155"/>
      <c r="E197" s="155"/>
      <c r="F197" s="155"/>
      <c r="G197" s="155"/>
      <c r="H197" s="155"/>
      <c r="I197" s="155"/>
      <c r="J197" s="155"/>
      <c r="K197" s="155"/>
      <c r="L197" s="155"/>
      <c r="M197" s="155"/>
    </row>
    <row r="198" spans="3:13" ht="14.1" customHeight="1">
      <c r="C198" s="159"/>
      <c r="D198" s="155"/>
      <c r="E198" s="155"/>
      <c r="F198" s="155"/>
      <c r="G198" s="155"/>
      <c r="H198" s="155"/>
      <c r="I198" s="155"/>
      <c r="J198" s="155"/>
      <c r="K198" s="155"/>
      <c r="L198" s="155"/>
      <c r="M198" s="155"/>
    </row>
    <row r="199" spans="3:13" ht="14.1" customHeight="1">
      <c r="C199" s="159"/>
      <c r="D199" s="155"/>
      <c r="E199" s="155"/>
      <c r="F199" s="155"/>
      <c r="G199" s="155"/>
      <c r="H199" s="155"/>
      <c r="I199" s="155"/>
      <c r="J199" s="155"/>
      <c r="K199" s="155"/>
      <c r="L199" s="155"/>
      <c r="M199" s="155"/>
    </row>
    <row r="200" spans="3:13" ht="14.1" customHeight="1">
      <c r="C200" s="159"/>
      <c r="D200" s="155"/>
      <c r="E200" s="155"/>
      <c r="F200" s="155"/>
      <c r="G200" s="155"/>
      <c r="H200" s="155"/>
      <c r="I200" s="155"/>
      <c r="J200" s="155"/>
      <c r="K200" s="155"/>
      <c r="L200" s="155"/>
      <c r="M200" s="155"/>
    </row>
    <row r="201" spans="3:13" ht="14.1" customHeight="1">
      <c r="C201" s="159"/>
      <c r="D201" s="155"/>
      <c r="E201" s="155"/>
      <c r="F201" s="155"/>
      <c r="G201" s="155"/>
      <c r="H201" s="155"/>
      <c r="I201" s="155"/>
      <c r="J201" s="155"/>
      <c r="K201" s="155"/>
      <c r="L201" s="155"/>
      <c r="M201" s="155"/>
    </row>
    <row r="202" spans="3:13" ht="14.1" customHeight="1">
      <c r="C202" s="159"/>
      <c r="D202" s="155"/>
      <c r="E202" s="155"/>
      <c r="F202" s="155"/>
      <c r="G202" s="155"/>
      <c r="H202" s="155"/>
      <c r="I202" s="155"/>
      <c r="J202" s="155"/>
      <c r="K202" s="155"/>
      <c r="L202" s="155"/>
      <c r="M202" s="155"/>
    </row>
    <row r="203" spans="3:13" ht="14.1" customHeight="1">
      <c r="C203" s="159"/>
      <c r="D203" s="155"/>
      <c r="E203" s="155"/>
      <c r="F203" s="155"/>
      <c r="G203" s="155"/>
      <c r="H203" s="155"/>
      <c r="I203" s="155"/>
      <c r="J203" s="155"/>
      <c r="K203" s="155"/>
      <c r="L203" s="155"/>
      <c r="M203" s="155"/>
    </row>
    <row r="204" spans="3:13" ht="14.1" customHeight="1">
      <c r="C204" s="159"/>
      <c r="D204" s="155"/>
      <c r="E204" s="155"/>
      <c r="F204" s="155"/>
      <c r="G204" s="155"/>
      <c r="H204" s="155"/>
      <c r="I204" s="155"/>
      <c r="J204" s="155"/>
      <c r="K204" s="155"/>
      <c r="L204" s="155"/>
      <c r="M204" s="155"/>
    </row>
    <row r="205" spans="3:13" ht="14.1" customHeight="1">
      <c r="C205" s="159"/>
      <c r="D205" s="155"/>
      <c r="E205" s="155"/>
      <c r="F205" s="155"/>
      <c r="G205" s="155"/>
      <c r="H205" s="155"/>
      <c r="I205" s="155"/>
      <c r="J205" s="155"/>
      <c r="K205" s="155"/>
      <c r="L205" s="155"/>
      <c r="M205" s="155"/>
    </row>
    <row r="206" spans="3:13" ht="14.1" customHeight="1">
      <c r="C206" s="159"/>
      <c r="D206" s="155"/>
      <c r="E206" s="155"/>
      <c r="F206" s="155"/>
      <c r="G206" s="155"/>
      <c r="H206" s="155"/>
      <c r="I206" s="155"/>
      <c r="J206" s="155"/>
      <c r="K206" s="155"/>
      <c r="L206" s="155"/>
      <c r="M206" s="155"/>
    </row>
    <row r="207" spans="3:13" ht="14.1" customHeight="1">
      <c r="C207" s="159"/>
      <c r="D207" s="155"/>
      <c r="E207" s="155"/>
      <c r="F207" s="155"/>
      <c r="G207" s="155"/>
      <c r="H207" s="155"/>
      <c r="I207" s="155"/>
      <c r="J207" s="155"/>
      <c r="K207" s="155"/>
      <c r="L207" s="155"/>
      <c r="M207" s="155"/>
    </row>
    <row r="208" spans="3:13" ht="14.1" customHeight="1">
      <c r="C208" s="159"/>
      <c r="D208" s="155"/>
      <c r="E208" s="155"/>
      <c r="F208" s="155"/>
      <c r="G208" s="155"/>
      <c r="H208" s="155"/>
      <c r="I208" s="155"/>
      <c r="J208" s="155"/>
      <c r="K208" s="155"/>
      <c r="L208" s="155"/>
      <c r="M208" s="155"/>
    </row>
    <row r="209" spans="3:13" ht="14.1" customHeight="1">
      <c r="C209" s="159"/>
      <c r="D209" s="155"/>
      <c r="E209" s="155"/>
      <c r="F209" s="155"/>
      <c r="G209" s="155"/>
      <c r="H209" s="155"/>
      <c r="I209" s="155"/>
      <c r="J209" s="155"/>
      <c r="K209" s="155"/>
      <c r="L209" s="155"/>
      <c r="M209" s="155"/>
    </row>
    <row r="210" spans="3:13" ht="14.1" customHeight="1">
      <c r="C210" s="159"/>
      <c r="D210" s="155"/>
      <c r="E210" s="155"/>
      <c r="F210" s="155"/>
      <c r="G210" s="155"/>
      <c r="H210" s="155"/>
      <c r="I210" s="155"/>
      <c r="J210" s="155"/>
      <c r="K210" s="155"/>
      <c r="L210" s="155"/>
      <c r="M210" s="155"/>
    </row>
    <row r="211" spans="3:13" ht="14.1" customHeight="1">
      <c r="C211" s="159"/>
      <c r="D211" s="155"/>
      <c r="E211" s="155"/>
      <c r="F211" s="155"/>
      <c r="G211" s="155"/>
      <c r="H211" s="155"/>
      <c r="I211" s="155"/>
      <c r="J211" s="155"/>
      <c r="K211" s="155"/>
      <c r="L211" s="155"/>
      <c r="M211" s="155"/>
    </row>
    <row r="212" spans="3:13" ht="14.1" customHeight="1">
      <c r="C212" s="159"/>
      <c r="D212" s="155"/>
      <c r="E212" s="155"/>
      <c r="F212" s="155"/>
      <c r="G212" s="155"/>
      <c r="H212" s="155"/>
      <c r="I212" s="155"/>
      <c r="J212" s="155"/>
      <c r="K212" s="155"/>
      <c r="L212" s="155"/>
      <c r="M212" s="155"/>
    </row>
    <row r="213" spans="3:13" ht="14.1" customHeight="1">
      <c r="C213" s="159"/>
      <c r="D213" s="155"/>
      <c r="E213" s="155"/>
      <c r="F213" s="155"/>
      <c r="G213" s="155"/>
      <c r="H213" s="155"/>
      <c r="I213" s="155"/>
      <c r="J213" s="155"/>
      <c r="K213" s="155"/>
      <c r="L213" s="155"/>
      <c r="M213" s="155"/>
    </row>
    <row r="214" spans="3:13" ht="14.1" customHeight="1">
      <c r="C214" s="159"/>
      <c r="D214" s="155"/>
      <c r="E214" s="155"/>
      <c r="F214" s="155"/>
      <c r="G214" s="155"/>
      <c r="H214" s="155"/>
      <c r="I214" s="155"/>
      <c r="J214" s="155"/>
      <c r="K214" s="155"/>
      <c r="L214" s="155"/>
      <c r="M214" s="155"/>
    </row>
    <row r="215" spans="3:13" ht="14.1" customHeight="1">
      <c r="C215" s="159"/>
      <c r="D215" s="155"/>
      <c r="E215" s="155"/>
      <c r="F215" s="155"/>
      <c r="G215" s="155"/>
      <c r="H215" s="155"/>
      <c r="I215" s="155"/>
      <c r="J215" s="155"/>
      <c r="K215" s="155"/>
      <c r="L215" s="155"/>
      <c r="M215" s="155"/>
    </row>
    <row r="216" spans="3:13" ht="14.1" customHeight="1">
      <c r="C216" s="159"/>
      <c r="D216" s="155"/>
      <c r="E216" s="155"/>
      <c r="F216" s="155"/>
      <c r="G216" s="155"/>
      <c r="H216" s="155"/>
      <c r="I216" s="155"/>
      <c r="J216" s="155"/>
      <c r="K216" s="155"/>
      <c r="L216" s="155"/>
      <c r="M216" s="155"/>
    </row>
    <row r="217" spans="3:13" ht="14.1" customHeight="1">
      <c r="C217" s="159"/>
      <c r="D217" s="155"/>
      <c r="E217" s="155"/>
      <c r="F217" s="155"/>
      <c r="G217" s="155"/>
      <c r="H217" s="155"/>
      <c r="I217" s="155"/>
      <c r="J217" s="155"/>
      <c r="K217" s="155"/>
      <c r="L217" s="155"/>
      <c r="M217" s="155"/>
    </row>
    <row r="218" spans="3:13" ht="14.1" customHeight="1">
      <c r="C218" s="159"/>
      <c r="D218" s="155"/>
      <c r="E218" s="155"/>
      <c r="F218" s="155"/>
      <c r="G218" s="155"/>
      <c r="H218" s="155"/>
      <c r="I218" s="155"/>
      <c r="J218" s="155"/>
      <c r="K218" s="155"/>
      <c r="L218" s="155"/>
      <c r="M218" s="155"/>
    </row>
    <row r="219" spans="3:13" ht="14.1" customHeight="1">
      <c r="C219" s="159"/>
      <c r="D219" s="155"/>
      <c r="E219" s="155"/>
      <c r="F219" s="155"/>
      <c r="G219" s="155"/>
      <c r="H219" s="155"/>
      <c r="I219" s="155"/>
      <c r="J219" s="155"/>
      <c r="K219" s="155"/>
      <c r="L219" s="155"/>
      <c r="M219" s="155"/>
    </row>
    <row r="220" spans="3:13" ht="14.1" customHeight="1">
      <c r="C220" s="159"/>
      <c r="D220" s="155"/>
      <c r="E220" s="155"/>
      <c r="F220" s="155"/>
      <c r="G220" s="155"/>
      <c r="H220" s="155"/>
      <c r="I220" s="155"/>
      <c r="J220" s="155"/>
      <c r="K220" s="155"/>
      <c r="L220" s="155"/>
      <c r="M220" s="155"/>
    </row>
    <row r="221" spans="3:13" ht="14.1" customHeight="1">
      <c r="C221" s="159"/>
      <c r="D221" s="155"/>
      <c r="E221" s="155"/>
      <c r="F221" s="155"/>
      <c r="G221" s="155"/>
      <c r="H221" s="155"/>
      <c r="I221" s="155"/>
      <c r="J221" s="155"/>
      <c r="K221" s="155"/>
      <c r="L221" s="155"/>
      <c r="M221" s="155"/>
    </row>
    <row r="222" spans="3:13" ht="14.1" customHeight="1">
      <c r="C222" s="159"/>
      <c r="D222" s="155"/>
      <c r="E222" s="155"/>
      <c r="F222" s="155"/>
      <c r="G222" s="155"/>
      <c r="H222" s="155"/>
      <c r="I222" s="155"/>
      <c r="J222" s="155"/>
      <c r="K222" s="155"/>
      <c r="L222" s="155"/>
      <c r="M222" s="155"/>
    </row>
    <row r="223" spans="3:13" ht="14.1" customHeight="1">
      <c r="C223" s="159"/>
      <c r="D223" s="155"/>
      <c r="E223" s="155"/>
      <c r="F223" s="155"/>
      <c r="G223" s="155"/>
      <c r="H223" s="155"/>
      <c r="I223" s="155"/>
      <c r="J223" s="155"/>
      <c r="K223" s="155"/>
      <c r="L223" s="155"/>
      <c r="M223" s="155"/>
    </row>
    <row r="224" spans="3:13" ht="14.1" customHeight="1">
      <c r="C224" s="159"/>
      <c r="D224" s="155"/>
      <c r="E224" s="155"/>
      <c r="F224" s="155"/>
      <c r="G224" s="155"/>
      <c r="H224" s="155"/>
      <c r="I224" s="155"/>
      <c r="J224" s="155"/>
      <c r="K224" s="155"/>
      <c r="L224" s="155"/>
      <c r="M224" s="155"/>
    </row>
    <row r="225" spans="3:13" ht="14.1" customHeight="1">
      <c r="C225" s="159"/>
      <c r="D225" s="155"/>
      <c r="E225" s="155"/>
      <c r="F225" s="155"/>
      <c r="G225" s="155"/>
      <c r="H225" s="155"/>
      <c r="I225" s="155"/>
      <c r="J225" s="155"/>
      <c r="K225" s="155"/>
      <c r="L225" s="155"/>
      <c r="M225" s="155"/>
    </row>
    <row r="226" spans="3:13" ht="14.1" customHeight="1">
      <c r="C226" s="159"/>
      <c r="D226" s="155"/>
      <c r="E226" s="155"/>
      <c r="F226" s="155"/>
      <c r="G226" s="155"/>
      <c r="H226" s="155"/>
      <c r="I226" s="155"/>
      <c r="J226" s="155"/>
      <c r="K226" s="155"/>
      <c r="L226" s="155"/>
      <c r="M226" s="155"/>
    </row>
    <row r="227" spans="3:13" ht="14.1" customHeight="1">
      <c r="C227" s="159"/>
      <c r="D227" s="155"/>
      <c r="E227" s="155"/>
      <c r="F227" s="155"/>
      <c r="G227" s="155"/>
      <c r="H227" s="155"/>
      <c r="I227" s="155"/>
      <c r="J227" s="155"/>
      <c r="K227" s="155"/>
      <c r="L227" s="155"/>
      <c r="M227" s="155"/>
    </row>
    <row r="228" spans="3:13" ht="14.1" customHeight="1">
      <c r="C228" s="159"/>
      <c r="D228" s="155"/>
      <c r="E228" s="155"/>
      <c r="F228" s="155"/>
      <c r="G228" s="155"/>
      <c r="H228" s="155"/>
      <c r="I228" s="155"/>
      <c r="J228" s="155"/>
      <c r="K228" s="155"/>
      <c r="L228" s="155"/>
      <c r="M228" s="155"/>
    </row>
    <row r="229" spans="3:13" ht="14.1" customHeight="1">
      <c r="C229" s="159"/>
      <c r="D229" s="155"/>
      <c r="E229" s="155"/>
      <c r="F229" s="155"/>
      <c r="G229" s="155"/>
      <c r="H229" s="155"/>
      <c r="I229" s="155"/>
      <c r="J229" s="155"/>
      <c r="K229" s="155"/>
      <c r="L229" s="155"/>
      <c r="M229" s="155"/>
    </row>
    <row r="230" spans="3:13" ht="14.1" customHeight="1">
      <c r="C230" s="159"/>
      <c r="D230" s="155"/>
      <c r="E230" s="155"/>
      <c r="F230" s="155"/>
      <c r="G230" s="155"/>
      <c r="H230" s="155"/>
      <c r="I230" s="155"/>
      <c r="J230" s="155"/>
      <c r="K230" s="155"/>
      <c r="L230" s="155"/>
      <c r="M230" s="155"/>
    </row>
    <row r="231" spans="3:13" ht="14.1" customHeight="1">
      <c r="C231" s="159"/>
      <c r="D231" s="155"/>
      <c r="E231" s="155"/>
      <c r="F231" s="155"/>
      <c r="G231" s="155"/>
      <c r="H231" s="155"/>
      <c r="I231" s="155"/>
      <c r="J231" s="155"/>
      <c r="K231" s="155"/>
      <c r="L231" s="155"/>
      <c r="M231" s="155"/>
    </row>
    <row r="232" spans="3:13" ht="14.1" customHeight="1">
      <c r="C232" s="159"/>
      <c r="D232" s="155"/>
      <c r="E232" s="155"/>
      <c r="F232" s="155"/>
      <c r="G232" s="155"/>
      <c r="H232" s="155"/>
      <c r="I232" s="155"/>
      <c r="J232" s="155"/>
      <c r="K232" s="155"/>
      <c r="L232" s="155"/>
      <c r="M232" s="155"/>
    </row>
    <row r="233" spans="3:13" ht="14.1" customHeight="1">
      <c r="C233" s="159"/>
      <c r="D233" s="155"/>
      <c r="E233" s="155"/>
      <c r="F233" s="155"/>
      <c r="G233" s="155"/>
      <c r="H233" s="155"/>
      <c r="I233" s="155"/>
      <c r="J233" s="155"/>
      <c r="K233" s="155"/>
      <c r="L233" s="155"/>
      <c r="M233" s="155"/>
    </row>
    <row r="234" spans="3:13" ht="14.1" customHeight="1">
      <c r="C234" s="159"/>
      <c r="D234" s="155"/>
      <c r="E234" s="155"/>
      <c r="F234" s="155"/>
      <c r="G234" s="155"/>
      <c r="H234" s="155"/>
      <c r="I234" s="155"/>
      <c r="J234" s="155"/>
      <c r="K234" s="155"/>
      <c r="L234" s="155"/>
      <c r="M234" s="155"/>
    </row>
    <row r="235" spans="3:13" ht="14.1" customHeight="1">
      <c r="C235" s="159"/>
      <c r="D235" s="155"/>
      <c r="E235" s="155"/>
      <c r="F235" s="155"/>
      <c r="G235" s="155"/>
      <c r="H235" s="155"/>
      <c r="I235" s="155"/>
      <c r="J235" s="155"/>
      <c r="K235" s="155"/>
      <c r="L235" s="155"/>
      <c r="M235" s="155"/>
    </row>
    <row r="236" spans="3:13" ht="14.1" customHeight="1">
      <c r="C236" s="159"/>
      <c r="D236" s="155"/>
      <c r="E236" s="155"/>
      <c r="F236" s="155"/>
      <c r="G236" s="155"/>
      <c r="H236" s="155"/>
      <c r="I236" s="155"/>
      <c r="J236" s="155"/>
      <c r="K236" s="155"/>
      <c r="L236" s="155"/>
      <c r="M236" s="155"/>
    </row>
    <row r="237" spans="3:13" ht="14.1" customHeight="1">
      <c r="C237" s="159"/>
      <c r="D237" s="155"/>
      <c r="E237" s="155"/>
      <c r="F237" s="155"/>
      <c r="G237" s="155"/>
      <c r="H237" s="155"/>
      <c r="I237" s="155"/>
      <c r="J237" s="155"/>
      <c r="K237" s="155"/>
      <c r="L237" s="155"/>
      <c r="M237" s="155"/>
    </row>
    <row r="238" spans="3:13" ht="14.1" customHeight="1">
      <c r="C238" s="159"/>
      <c r="D238" s="155"/>
      <c r="E238" s="155"/>
      <c r="F238" s="155"/>
      <c r="G238" s="155"/>
      <c r="H238" s="155"/>
      <c r="I238" s="155"/>
      <c r="J238" s="155"/>
      <c r="K238" s="155"/>
      <c r="L238" s="155"/>
      <c r="M238" s="155"/>
    </row>
    <row r="239" spans="3:13" ht="14.1" customHeight="1">
      <c r="C239" s="159"/>
      <c r="D239" s="155"/>
      <c r="E239" s="155"/>
      <c r="F239" s="155"/>
      <c r="G239" s="155"/>
      <c r="H239" s="155"/>
      <c r="I239" s="155"/>
      <c r="J239" s="155"/>
      <c r="K239" s="155"/>
      <c r="L239" s="155"/>
      <c r="M239" s="155"/>
    </row>
    <row r="240" spans="3:13" ht="14.1" customHeight="1">
      <c r="C240" s="159"/>
      <c r="D240" s="155"/>
      <c r="E240" s="155"/>
      <c r="F240" s="155"/>
      <c r="G240" s="155"/>
      <c r="H240" s="155"/>
      <c r="I240" s="155"/>
      <c r="J240" s="155"/>
      <c r="K240" s="155"/>
      <c r="L240" s="155"/>
      <c r="M240" s="155"/>
    </row>
    <row r="241" spans="3:13" ht="14.1" customHeight="1">
      <c r="C241" s="159"/>
      <c r="D241" s="155"/>
      <c r="E241" s="155"/>
      <c r="F241" s="155"/>
      <c r="G241" s="155"/>
      <c r="H241" s="155"/>
      <c r="I241" s="155"/>
      <c r="J241" s="155"/>
      <c r="K241" s="155"/>
      <c r="L241" s="155"/>
      <c r="M241" s="155"/>
    </row>
    <row r="242" spans="3:13" ht="14.1" customHeight="1">
      <c r="C242" s="159"/>
      <c r="D242" s="155"/>
      <c r="E242" s="155"/>
      <c r="F242" s="155"/>
      <c r="G242" s="155"/>
      <c r="H242" s="155"/>
      <c r="I242" s="155"/>
      <c r="J242" s="155"/>
      <c r="K242" s="155"/>
      <c r="L242" s="155"/>
      <c r="M242" s="155"/>
    </row>
    <row r="243" spans="3:13" ht="14.1" customHeight="1">
      <c r="C243" s="159"/>
      <c r="D243" s="155"/>
      <c r="E243" s="155"/>
      <c r="F243" s="155"/>
      <c r="G243" s="155"/>
      <c r="H243" s="155"/>
      <c r="I243" s="155"/>
      <c r="J243" s="155"/>
      <c r="K243" s="155"/>
      <c r="L243" s="155"/>
      <c r="M243" s="155"/>
    </row>
    <row r="244" spans="3:13" ht="14.1" customHeight="1">
      <c r="C244" s="159"/>
      <c r="D244" s="155"/>
      <c r="E244" s="155"/>
      <c r="F244" s="155"/>
      <c r="G244" s="155"/>
      <c r="H244" s="155"/>
      <c r="I244" s="155"/>
      <c r="J244" s="155"/>
      <c r="K244" s="155"/>
      <c r="L244" s="155"/>
      <c r="M244" s="155"/>
    </row>
    <row r="245" spans="3:13" ht="14.1" customHeight="1">
      <c r="C245" s="159"/>
      <c r="D245" s="155"/>
      <c r="E245" s="155"/>
      <c r="F245" s="155"/>
      <c r="G245" s="155"/>
      <c r="H245" s="155"/>
      <c r="I245" s="155"/>
      <c r="J245" s="155"/>
      <c r="K245" s="155"/>
      <c r="L245" s="155"/>
      <c r="M245" s="155"/>
    </row>
    <row r="246" spans="3:13" ht="14.1" customHeight="1">
      <c r="C246" s="159"/>
      <c r="D246" s="155"/>
      <c r="E246" s="155"/>
      <c r="F246" s="155"/>
      <c r="G246" s="155"/>
      <c r="H246" s="155"/>
      <c r="I246" s="155"/>
      <c r="J246" s="155"/>
      <c r="K246" s="155"/>
      <c r="L246" s="155"/>
      <c r="M246" s="155"/>
    </row>
    <row r="247" spans="3:13" ht="14.1" customHeight="1">
      <c r="C247" s="159"/>
      <c r="D247" s="155"/>
      <c r="E247" s="155"/>
      <c r="F247" s="155"/>
      <c r="G247" s="155"/>
      <c r="H247" s="155"/>
      <c r="I247" s="155"/>
      <c r="J247" s="155"/>
      <c r="K247" s="155"/>
      <c r="L247" s="155"/>
      <c r="M247" s="155"/>
    </row>
    <row r="248" spans="3:13" ht="14.1" customHeight="1">
      <c r="C248" s="159"/>
      <c r="D248" s="155"/>
      <c r="E248" s="155"/>
      <c r="F248" s="155"/>
      <c r="G248" s="155"/>
      <c r="H248" s="155"/>
      <c r="I248" s="155"/>
      <c r="J248" s="155"/>
      <c r="K248" s="155"/>
      <c r="L248" s="155"/>
      <c r="M248" s="155"/>
    </row>
    <row r="249" spans="3:13" ht="14.1" customHeight="1">
      <c r="C249" s="159"/>
      <c r="D249" s="155"/>
      <c r="E249" s="155"/>
      <c r="F249" s="155"/>
      <c r="G249" s="155"/>
      <c r="H249" s="155"/>
      <c r="I249" s="155"/>
      <c r="J249" s="155"/>
      <c r="K249" s="155"/>
      <c r="L249" s="155"/>
      <c r="M249" s="155"/>
    </row>
    <row r="250" spans="3:13" ht="14.1" customHeight="1">
      <c r="C250" s="159"/>
      <c r="D250" s="155"/>
      <c r="E250" s="155"/>
      <c r="F250" s="155"/>
      <c r="G250" s="155"/>
      <c r="H250" s="155"/>
      <c r="I250" s="155"/>
      <c r="J250" s="155"/>
      <c r="K250" s="155"/>
      <c r="L250" s="155"/>
      <c r="M250" s="155"/>
    </row>
    <row r="251" spans="3:13" ht="14.1" customHeight="1">
      <c r="C251" s="159"/>
      <c r="D251" s="155"/>
      <c r="E251" s="155"/>
      <c r="F251" s="155"/>
      <c r="G251" s="155"/>
      <c r="H251" s="155"/>
      <c r="I251" s="155"/>
      <c r="J251" s="155"/>
      <c r="K251" s="155"/>
      <c r="L251" s="155"/>
      <c r="M251" s="155"/>
    </row>
    <row r="252" spans="3:13" ht="14.1" customHeight="1">
      <c r="C252" s="159"/>
      <c r="D252" s="155"/>
      <c r="E252" s="155"/>
      <c r="F252" s="155"/>
      <c r="G252" s="155"/>
      <c r="H252" s="155"/>
      <c r="I252" s="155"/>
      <c r="J252" s="155"/>
      <c r="K252" s="155"/>
      <c r="L252" s="155"/>
      <c r="M252" s="155"/>
    </row>
    <row r="253" spans="3:13" ht="14.1" customHeight="1">
      <c r="C253" s="159"/>
      <c r="D253" s="155"/>
      <c r="E253" s="155"/>
      <c r="F253" s="155"/>
      <c r="G253" s="155"/>
      <c r="H253" s="155"/>
      <c r="I253" s="155"/>
      <c r="J253" s="155"/>
      <c r="K253" s="155"/>
      <c r="L253" s="155"/>
      <c r="M253" s="155"/>
    </row>
    <row r="254" spans="3:13" ht="14.1" customHeight="1">
      <c r="C254" s="159"/>
      <c r="D254" s="155"/>
      <c r="E254" s="155"/>
      <c r="F254" s="155"/>
      <c r="G254" s="155"/>
      <c r="H254" s="155"/>
      <c r="I254" s="155"/>
      <c r="J254" s="155"/>
      <c r="K254" s="155"/>
      <c r="L254" s="155"/>
      <c r="M254" s="155"/>
    </row>
    <row r="255" spans="3:13" ht="14.1" customHeight="1">
      <c r="C255" s="159"/>
      <c r="D255" s="155"/>
      <c r="E255" s="155"/>
      <c r="F255" s="155"/>
      <c r="G255" s="155"/>
      <c r="H255" s="155"/>
      <c r="I255" s="155"/>
      <c r="J255" s="155"/>
      <c r="K255" s="155"/>
      <c r="L255" s="155"/>
      <c r="M255" s="155"/>
    </row>
    <row r="256" spans="3:13" ht="14.1" customHeight="1">
      <c r="C256" s="159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</row>
    <row r="257" spans="3:13" ht="14.1" customHeight="1">
      <c r="C257" s="159"/>
      <c r="D257" s="155"/>
      <c r="E257" s="155"/>
      <c r="F257" s="155"/>
      <c r="G257" s="155"/>
      <c r="H257" s="155"/>
      <c r="I257" s="155"/>
      <c r="J257" s="155"/>
      <c r="K257" s="155"/>
      <c r="L257" s="155"/>
      <c r="M257" s="155"/>
    </row>
    <row r="258" spans="3:13" ht="14.1" customHeight="1">
      <c r="C258" s="159"/>
      <c r="D258" s="155"/>
      <c r="E258" s="155"/>
      <c r="F258" s="155"/>
      <c r="G258" s="155"/>
      <c r="H258" s="155"/>
      <c r="I258" s="155"/>
      <c r="J258" s="155"/>
      <c r="K258" s="155"/>
      <c r="L258" s="155"/>
      <c r="M258" s="155"/>
    </row>
    <row r="259" spans="3:13" ht="14.1" customHeight="1">
      <c r="C259" s="159"/>
      <c r="D259" s="155"/>
      <c r="E259" s="155"/>
      <c r="F259" s="155"/>
      <c r="G259" s="155"/>
      <c r="H259" s="155"/>
      <c r="I259" s="155"/>
      <c r="J259" s="155"/>
      <c r="K259" s="155"/>
      <c r="L259" s="155"/>
      <c r="M259" s="155"/>
    </row>
    <row r="260" spans="3:13" ht="14.1" customHeight="1">
      <c r="C260" s="159"/>
      <c r="D260" s="155"/>
      <c r="E260" s="155"/>
      <c r="F260" s="155"/>
      <c r="G260" s="155"/>
      <c r="H260" s="155"/>
      <c r="I260" s="155"/>
      <c r="J260" s="155"/>
      <c r="K260" s="155"/>
      <c r="L260" s="155"/>
      <c r="M260" s="155"/>
    </row>
    <row r="261" spans="3:13" ht="14.1" customHeight="1">
      <c r="C261" s="159"/>
      <c r="D261" s="155"/>
      <c r="E261" s="155"/>
      <c r="F261" s="155"/>
      <c r="G261" s="155"/>
      <c r="H261" s="155"/>
      <c r="I261" s="155"/>
      <c r="J261" s="155"/>
      <c r="K261" s="155"/>
      <c r="L261" s="155"/>
      <c r="M261" s="155"/>
    </row>
    <row r="262" spans="3:13" ht="14.1" customHeight="1">
      <c r="C262" s="159"/>
      <c r="D262" s="155"/>
      <c r="E262" s="155"/>
      <c r="F262" s="155"/>
      <c r="G262" s="155"/>
      <c r="H262" s="155"/>
      <c r="I262" s="155"/>
      <c r="J262" s="155"/>
      <c r="K262" s="155"/>
      <c r="L262" s="155"/>
      <c r="M262" s="155"/>
    </row>
    <row r="263" spans="3:13" ht="14.1" customHeight="1">
      <c r="C263" s="159"/>
      <c r="D263" s="155"/>
      <c r="E263" s="155"/>
      <c r="F263" s="155"/>
      <c r="G263" s="155"/>
      <c r="H263" s="155"/>
      <c r="I263" s="155"/>
      <c r="J263" s="155"/>
      <c r="K263" s="155"/>
      <c r="L263" s="155"/>
      <c r="M263" s="155"/>
    </row>
    <row r="264" spans="3:13" ht="14.1" customHeight="1">
      <c r="C264" s="159"/>
      <c r="D264" s="155"/>
      <c r="E264" s="155"/>
      <c r="F264" s="155"/>
      <c r="G264" s="155"/>
      <c r="H264" s="155"/>
      <c r="I264" s="155"/>
      <c r="J264" s="155"/>
      <c r="K264" s="155"/>
      <c r="L264" s="155"/>
      <c r="M264" s="155"/>
    </row>
    <row r="265" spans="3:13" ht="14.1" customHeight="1">
      <c r="C265" s="159"/>
      <c r="D265" s="155"/>
      <c r="E265" s="155"/>
      <c r="F265" s="155"/>
      <c r="G265" s="155"/>
      <c r="H265" s="155"/>
      <c r="I265" s="155"/>
      <c r="J265" s="155"/>
      <c r="K265" s="155"/>
      <c r="L265" s="155"/>
      <c r="M265" s="155"/>
    </row>
    <row r="266" spans="3:13" ht="14.1" customHeight="1">
      <c r="C266" s="159"/>
      <c r="D266" s="155"/>
      <c r="E266" s="155"/>
      <c r="F266" s="155"/>
      <c r="G266" s="155"/>
      <c r="H266" s="155"/>
      <c r="I266" s="155"/>
      <c r="J266" s="155"/>
      <c r="K266" s="155"/>
      <c r="L266" s="155"/>
      <c r="M266" s="155"/>
    </row>
    <row r="267" spans="3:13" ht="14.1" customHeight="1">
      <c r="C267" s="159"/>
      <c r="D267" s="155"/>
      <c r="E267" s="155"/>
      <c r="F267" s="155"/>
      <c r="G267" s="155"/>
      <c r="H267" s="155"/>
      <c r="I267" s="155"/>
      <c r="J267" s="155"/>
      <c r="K267" s="155"/>
      <c r="L267" s="155"/>
      <c r="M267" s="155"/>
    </row>
    <row r="268" spans="3:13" ht="14.1" customHeight="1">
      <c r="C268" s="159"/>
      <c r="D268" s="155"/>
      <c r="E268" s="155"/>
      <c r="F268" s="155"/>
      <c r="G268" s="155"/>
      <c r="H268" s="155"/>
      <c r="I268" s="155"/>
      <c r="J268" s="155"/>
      <c r="K268" s="155"/>
      <c r="L268" s="155"/>
      <c r="M268" s="155"/>
    </row>
    <row r="269" spans="3:13" ht="14.1" customHeight="1">
      <c r="C269" s="159"/>
      <c r="D269" s="155"/>
      <c r="E269" s="155"/>
      <c r="F269" s="155"/>
      <c r="G269" s="155"/>
      <c r="H269" s="155"/>
      <c r="I269" s="155"/>
      <c r="J269" s="155"/>
      <c r="K269" s="155"/>
      <c r="L269" s="155"/>
      <c r="M269" s="155"/>
    </row>
    <row r="270" spans="3:13" ht="14.1" customHeight="1">
      <c r="C270" s="159"/>
      <c r="D270" s="155"/>
      <c r="E270" s="155"/>
      <c r="F270" s="155"/>
      <c r="G270" s="155"/>
      <c r="H270" s="155"/>
      <c r="I270" s="155"/>
      <c r="J270" s="155"/>
      <c r="K270" s="155"/>
      <c r="L270" s="155"/>
      <c r="M270" s="155"/>
    </row>
    <row r="271" spans="3:13" ht="14.1" customHeight="1">
      <c r="C271" s="159"/>
      <c r="D271" s="155"/>
      <c r="E271" s="155"/>
      <c r="F271" s="155"/>
      <c r="G271" s="155"/>
      <c r="H271" s="155"/>
      <c r="I271" s="155"/>
      <c r="J271" s="155"/>
      <c r="K271" s="155"/>
      <c r="L271" s="155"/>
      <c r="M271" s="155"/>
    </row>
    <row r="272" spans="3:13" ht="14.1" customHeight="1">
      <c r="C272" s="159"/>
      <c r="D272" s="155"/>
      <c r="E272" s="155"/>
      <c r="F272" s="155"/>
      <c r="G272" s="155"/>
      <c r="H272" s="155"/>
      <c r="I272" s="155"/>
      <c r="J272" s="155"/>
      <c r="K272" s="155"/>
      <c r="L272" s="155"/>
      <c r="M272" s="155"/>
    </row>
    <row r="273" spans="3:13" ht="14.1" customHeight="1">
      <c r="C273" s="159"/>
      <c r="D273" s="155"/>
      <c r="E273" s="155"/>
      <c r="F273" s="155"/>
      <c r="G273" s="155"/>
      <c r="H273" s="155"/>
      <c r="I273" s="155"/>
      <c r="J273" s="155"/>
      <c r="K273" s="155"/>
      <c r="L273" s="155"/>
      <c r="M273" s="155"/>
    </row>
    <row r="274" spans="3:13" ht="14.1" customHeight="1">
      <c r="C274" s="159"/>
      <c r="D274" s="155"/>
      <c r="E274" s="155"/>
      <c r="F274" s="155"/>
      <c r="G274" s="155"/>
      <c r="H274" s="155"/>
      <c r="I274" s="155"/>
      <c r="J274" s="155"/>
      <c r="K274" s="155"/>
      <c r="L274" s="155"/>
      <c r="M274" s="155"/>
    </row>
    <row r="275" spans="3:13" ht="14.1" customHeight="1">
      <c r="C275" s="159"/>
      <c r="D275" s="155"/>
      <c r="E275" s="155"/>
      <c r="F275" s="155"/>
      <c r="G275" s="155"/>
      <c r="H275" s="155"/>
      <c r="I275" s="155"/>
      <c r="J275" s="155"/>
      <c r="K275" s="155"/>
      <c r="L275" s="155"/>
      <c r="M275" s="155"/>
    </row>
    <row r="276" spans="3:13" ht="14.1" customHeight="1">
      <c r="C276" s="159"/>
      <c r="D276" s="155"/>
      <c r="E276" s="155"/>
      <c r="F276" s="155"/>
      <c r="G276" s="155"/>
      <c r="H276" s="155"/>
      <c r="I276" s="155"/>
      <c r="J276" s="155"/>
      <c r="K276" s="155"/>
      <c r="L276" s="155"/>
      <c r="M276" s="155"/>
    </row>
    <row r="277" spans="3:13" ht="14.1" customHeight="1">
      <c r="C277" s="159"/>
      <c r="D277" s="155"/>
      <c r="E277" s="155"/>
      <c r="F277" s="155"/>
      <c r="G277" s="155"/>
      <c r="H277" s="155"/>
      <c r="I277" s="155"/>
      <c r="J277" s="155"/>
      <c r="K277" s="155"/>
      <c r="L277" s="155"/>
      <c r="M277" s="155"/>
    </row>
    <row r="278" spans="3:13" ht="14.1" customHeight="1">
      <c r="C278" s="159"/>
      <c r="D278" s="155"/>
      <c r="E278" s="155"/>
      <c r="F278" s="155"/>
      <c r="G278" s="155"/>
      <c r="H278" s="155"/>
      <c r="I278" s="155"/>
      <c r="J278" s="155"/>
      <c r="K278" s="155"/>
      <c r="L278" s="155"/>
      <c r="M278" s="155"/>
    </row>
    <row r="279" spans="3:13" ht="14.1" customHeight="1">
      <c r="C279" s="159"/>
      <c r="D279" s="155"/>
      <c r="E279" s="155"/>
      <c r="F279" s="155"/>
      <c r="G279" s="155"/>
      <c r="H279" s="155"/>
      <c r="I279" s="155"/>
      <c r="J279" s="155"/>
      <c r="K279" s="155"/>
      <c r="L279" s="155"/>
      <c r="M279" s="155"/>
    </row>
    <row r="280" spans="3:13" ht="14.1" customHeight="1">
      <c r="C280" s="159"/>
      <c r="D280" s="155"/>
      <c r="E280" s="155"/>
      <c r="F280" s="155"/>
      <c r="G280" s="155"/>
      <c r="H280" s="155"/>
      <c r="I280" s="155"/>
      <c r="J280" s="155"/>
      <c r="K280" s="155"/>
      <c r="L280" s="155"/>
      <c r="M280" s="155"/>
    </row>
    <row r="281" spans="3:13" ht="14.1" customHeight="1">
      <c r="C281" s="159"/>
      <c r="D281" s="155"/>
      <c r="E281" s="155"/>
      <c r="F281" s="155"/>
      <c r="G281" s="155"/>
      <c r="H281" s="155"/>
      <c r="I281" s="155"/>
      <c r="J281" s="155"/>
      <c r="K281" s="155"/>
      <c r="L281" s="155"/>
      <c r="M281" s="155"/>
    </row>
    <row r="282" spans="3:13" ht="14.1" customHeight="1">
      <c r="C282" s="159"/>
      <c r="D282" s="155"/>
      <c r="E282" s="155"/>
      <c r="F282" s="155"/>
      <c r="G282" s="155"/>
      <c r="H282" s="155"/>
      <c r="I282" s="155"/>
      <c r="J282" s="155"/>
      <c r="K282" s="155"/>
      <c r="L282" s="155"/>
      <c r="M282" s="155"/>
    </row>
    <row r="283" spans="3:13" ht="14.1" customHeight="1">
      <c r="C283" s="159"/>
      <c r="D283" s="155"/>
      <c r="E283" s="155"/>
      <c r="F283" s="155"/>
      <c r="G283" s="155"/>
      <c r="H283" s="155"/>
      <c r="I283" s="155"/>
      <c r="J283" s="155"/>
      <c r="K283" s="155"/>
      <c r="L283" s="155"/>
      <c r="M283" s="155"/>
    </row>
    <row r="284" spans="3:13" ht="14.1" customHeight="1">
      <c r="C284" s="159"/>
      <c r="D284" s="155"/>
      <c r="E284" s="155"/>
      <c r="F284" s="155"/>
      <c r="G284" s="155"/>
      <c r="H284" s="155"/>
      <c r="I284" s="155"/>
      <c r="J284" s="155"/>
      <c r="K284" s="155"/>
      <c r="L284" s="155"/>
      <c r="M284" s="155"/>
    </row>
    <row r="285" spans="3:13" ht="14.1" customHeight="1">
      <c r="C285" s="159"/>
      <c r="D285" s="155"/>
      <c r="E285" s="155"/>
      <c r="F285" s="155"/>
      <c r="G285" s="155"/>
      <c r="H285" s="155"/>
      <c r="I285" s="155"/>
      <c r="J285" s="155"/>
      <c r="K285" s="155"/>
      <c r="L285" s="155"/>
      <c r="M285" s="155"/>
    </row>
    <row r="286" spans="3:13" ht="14.1" customHeight="1">
      <c r="C286" s="159"/>
      <c r="D286" s="155"/>
      <c r="E286" s="155"/>
      <c r="F286" s="155"/>
      <c r="G286" s="155"/>
      <c r="H286" s="155"/>
      <c r="I286" s="155"/>
      <c r="J286" s="155"/>
      <c r="K286" s="155"/>
      <c r="L286" s="155"/>
      <c r="M286" s="155"/>
    </row>
    <row r="287" spans="3:13" ht="14.1" customHeight="1">
      <c r="C287" s="159"/>
      <c r="D287" s="155"/>
      <c r="E287" s="155"/>
      <c r="F287" s="155"/>
      <c r="G287" s="155"/>
      <c r="H287" s="155"/>
      <c r="I287" s="155"/>
      <c r="J287" s="155"/>
      <c r="K287" s="155"/>
      <c r="L287" s="155"/>
      <c r="M287" s="155"/>
    </row>
    <row r="288" spans="3:13" ht="14.1" customHeight="1">
      <c r="C288" s="159"/>
      <c r="D288" s="155"/>
      <c r="E288" s="155"/>
      <c r="F288" s="155"/>
      <c r="G288" s="155"/>
      <c r="H288" s="155"/>
      <c r="I288" s="155"/>
      <c r="J288" s="155"/>
      <c r="K288" s="155"/>
      <c r="L288" s="155"/>
      <c r="M288" s="155"/>
    </row>
    <row r="289" spans="3:13" ht="14.1" customHeight="1">
      <c r="C289" s="159"/>
      <c r="D289" s="155"/>
      <c r="E289" s="155"/>
      <c r="F289" s="155"/>
      <c r="G289" s="155"/>
      <c r="H289" s="155"/>
      <c r="I289" s="155"/>
      <c r="J289" s="155"/>
      <c r="K289" s="155"/>
      <c r="L289" s="155"/>
      <c r="M289" s="155"/>
    </row>
    <row r="290" spans="3:13" ht="14.1" customHeight="1">
      <c r="C290" s="159"/>
      <c r="D290" s="155"/>
      <c r="E290" s="155"/>
      <c r="F290" s="155"/>
      <c r="G290" s="155"/>
      <c r="H290" s="155"/>
      <c r="I290" s="155"/>
      <c r="J290" s="155"/>
      <c r="K290" s="155"/>
      <c r="L290" s="155"/>
      <c r="M290" s="155"/>
    </row>
    <row r="291" spans="3:13" ht="14.1" customHeight="1">
      <c r="C291" s="159"/>
      <c r="D291" s="155"/>
      <c r="E291" s="155"/>
      <c r="F291" s="155"/>
      <c r="G291" s="155"/>
      <c r="H291" s="155"/>
      <c r="I291" s="155"/>
      <c r="J291" s="155"/>
      <c r="K291" s="155"/>
      <c r="L291" s="155"/>
      <c r="M291" s="155"/>
    </row>
    <row r="292" spans="3:13" ht="14.1" customHeight="1">
      <c r="C292" s="159"/>
      <c r="D292" s="155"/>
      <c r="E292" s="155"/>
      <c r="F292" s="155"/>
      <c r="G292" s="155"/>
      <c r="H292" s="155"/>
      <c r="I292" s="155"/>
      <c r="J292" s="155"/>
      <c r="K292" s="155"/>
      <c r="L292" s="155"/>
      <c r="M292" s="155"/>
    </row>
    <row r="293" spans="3:13" ht="14.1" customHeight="1">
      <c r="C293" s="159"/>
      <c r="D293" s="155"/>
      <c r="E293" s="155"/>
      <c r="F293" s="155"/>
      <c r="G293" s="155"/>
      <c r="H293" s="155"/>
      <c r="I293" s="155"/>
      <c r="J293" s="155"/>
      <c r="K293" s="155"/>
      <c r="L293" s="155"/>
      <c r="M293" s="155"/>
    </row>
    <row r="294" spans="3:13" ht="14.1" customHeight="1">
      <c r="C294" s="159"/>
      <c r="D294" s="155"/>
      <c r="E294" s="155"/>
      <c r="F294" s="155"/>
      <c r="G294" s="155"/>
      <c r="H294" s="155"/>
      <c r="I294" s="155"/>
      <c r="J294" s="155"/>
      <c r="K294" s="155"/>
      <c r="L294" s="155"/>
      <c r="M294" s="155"/>
    </row>
    <row r="295" spans="3:13" ht="14.1" customHeight="1">
      <c r="C295" s="159"/>
      <c r="D295" s="155"/>
      <c r="E295" s="155"/>
      <c r="F295" s="155"/>
      <c r="G295" s="155"/>
      <c r="H295" s="155"/>
      <c r="I295" s="155"/>
      <c r="J295" s="155"/>
      <c r="K295" s="155"/>
      <c r="L295" s="155"/>
      <c r="M295" s="155"/>
    </row>
    <row r="296" spans="3:13" ht="14.1" customHeight="1">
      <c r="C296" s="159"/>
      <c r="D296" s="155"/>
      <c r="E296" s="155"/>
      <c r="F296" s="155"/>
      <c r="G296" s="155"/>
      <c r="H296" s="155"/>
      <c r="I296" s="155"/>
      <c r="J296" s="155"/>
      <c r="K296" s="155"/>
      <c r="L296" s="155"/>
      <c r="M296" s="155"/>
    </row>
    <row r="297" spans="3:13" ht="14.1" customHeight="1">
      <c r="C297" s="159"/>
      <c r="D297" s="155"/>
      <c r="E297" s="155"/>
      <c r="F297" s="155"/>
      <c r="G297" s="155"/>
      <c r="H297" s="155"/>
      <c r="I297" s="155"/>
      <c r="J297" s="155"/>
      <c r="K297" s="155"/>
      <c r="L297" s="155"/>
      <c r="M297" s="155"/>
    </row>
    <row r="298" spans="3:13" ht="14.1" customHeight="1">
      <c r="C298" s="159"/>
      <c r="D298" s="155"/>
      <c r="E298" s="155"/>
      <c r="F298" s="155"/>
      <c r="G298" s="155"/>
      <c r="H298" s="155"/>
      <c r="I298" s="155"/>
      <c r="J298" s="155"/>
      <c r="K298" s="155"/>
      <c r="L298" s="155"/>
      <c r="M298" s="155"/>
    </row>
    <row r="299" spans="3:13" ht="14.1" customHeight="1">
      <c r="C299" s="159"/>
      <c r="D299" s="155"/>
      <c r="E299" s="155"/>
      <c r="F299" s="155"/>
      <c r="G299" s="155"/>
      <c r="H299" s="155"/>
      <c r="I299" s="155"/>
      <c r="J299" s="155"/>
      <c r="K299" s="155"/>
      <c r="L299" s="155"/>
      <c r="M299" s="155"/>
    </row>
    <row r="300" spans="3:13" ht="14.1" customHeight="1">
      <c r="C300" s="159"/>
      <c r="D300" s="155"/>
      <c r="E300" s="155"/>
      <c r="F300" s="155"/>
      <c r="G300" s="155"/>
      <c r="H300" s="155"/>
      <c r="I300" s="155"/>
      <c r="J300" s="155"/>
      <c r="K300" s="155"/>
      <c r="L300" s="155"/>
      <c r="M300" s="155"/>
    </row>
    <row r="301" spans="3:13" ht="14.1" customHeight="1">
      <c r="C301" s="159"/>
      <c r="D301" s="155"/>
      <c r="E301" s="155"/>
      <c r="F301" s="155"/>
      <c r="G301" s="155"/>
      <c r="H301" s="155"/>
      <c r="I301" s="155"/>
      <c r="J301" s="155"/>
      <c r="K301" s="155"/>
      <c r="L301" s="155"/>
      <c r="M301" s="155"/>
    </row>
    <row r="302" spans="3:13" ht="14.1" customHeight="1">
      <c r="C302" s="159"/>
      <c r="D302" s="155"/>
      <c r="E302" s="155"/>
      <c r="F302" s="155"/>
      <c r="G302" s="155"/>
      <c r="H302" s="155"/>
      <c r="I302" s="155"/>
      <c r="J302" s="155"/>
      <c r="K302" s="155"/>
      <c r="L302" s="155"/>
      <c r="M302" s="155"/>
    </row>
    <row r="303" spans="3:13" ht="14.1" customHeight="1">
      <c r="C303" s="159"/>
      <c r="D303" s="155"/>
      <c r="E303" s="155"/>
      <c r="F303" s="155"/>
      <c r="G303" s="155"/>
      <c r="H303" s="155"/>
      <c r="I303" s="155"/>
      <c r="J303" s="155"/>
      <c r="K303" s="155"/>
      <c r="L303" s="155"/>
      <c r="M303" s="155"/>
    </row>
    <row r="304" spans="3:13" ht="14.1" customHeight="1">
      <c r="C304" s="159"/>
      <c r="D304" s="155"/>
      <c r="E304" s="155"/>
      <c r="F304" s="155"/>
      <c r="G304" s="155"/>
      <c r="H304" s="155"/>
      <c r="I304" s="155"/>
      <c r="J304" s="155"/>
      <c r="K304" s="155"/>
      <c r="L304" s="155"/>
      <c r="M304" s="155"/>
    </row>
    <row r="305" spans="3:13" ht="14.1" customHeight="1">
      <c r="C305" s="159"/>
      <c r="D305" s="155"/>
      <c r="E305" s="155"/>
      <c r="F305" s="155"/>
      <c r="G305" s="155"/>
      <c r="H305" s="155"/>
      <c r="I305" s="155"/>
      <c r="J305" s="155"/>
      <c r="K305" s="155"/>
      <c r="L305" s="155"/>
      <c r="M305" s="155"/>
    </row>
    <row r="306" spans="3:13" ht="14.1" customHeight="1">
      <c r="C306" s="159"/>
      <c r="D306" s="155"/>
      <c r="E306" s="155"/>
      <c r="F306" s="155"/>
      <c r="G306" s="155"/>
      <c r="H306" s="155"/>
      <c r="I306" s="155"/>
      <c r="J306" s="155"/>
      <c r="K306" s="155"/>
      <c r="L306" s="155"/>
      <c r="M306" s="155"/>
    </row>
    <row r="307" spans="3:13" ht="14.1" customHeight="1">
      <c r="C307" s="159"/>
      <c r="D307" s="155"/>
      <c r="E307" s="155"/>
      <c r="F307" s="155"/>
      <c r="G307" s="155"/>
      <c r="H307" s="155"/>
      <c r="I307" s="155"/>
      <c r="J307" s="155"/>
      <c r="K307" s="155"/>
      <c r="L307" s="155"/>
      <c r="M307" s="155"/>
    </row>
    <row r="308" spans="3:13" ht="14.1" customHeight="1">
      <c r="C308" s="159"/>
      <c r="D308" s="155"/>
      <c r="E308" s="155"/>
      <c r="F308" s="155"/>
      <c r="G308" s="155"/>
      <c r="H308" s="155"/>
      <c r="I308" s="155"/>
      <c r="J308" s="155"/>
      <c r="K308" s="155"/>
      <c r="L308" s="155"/>
      <c r="M308" s="155"/>
    </row>
    <row r="309" spans="3:13" ht="14.1" customHeight="1">
      <c r="C309" s="159"/>
      <c r="D309" s="155"/>
      <c r="E309" s="155"/>
      <c r="F309" s="155"/>
      <c r="G309" s="155"/>
      <c r="H309" s="155"/>
      <c r="I309" s="155"/>
      <c r="J309" s="155"/>
      <c r="K309" s="155"/>
      <c r="L309" s="155"/>
      <c r="M309" s="155"/>
    </row>
    <row r="310" spans="3:13" ht="14.1" customHeight="1">
      <c r="C310" s="159"/>
      <c r="D310" s="155"/>
      <c r="E310" s="155"/>
      <c r="F310" s="155"/>
      <c r="G310" s="155"/>
      <c r="H310" s="155"/>
      <c r="I310" s="155"/>
      <c r="J310" s="155"/>
      <c r="K310" s="155"/>
      <c r="L310" s="155"/>
      <c r="M310" s="155"/>
    </row>
    <row r="311" spans="3:13" ht="14.1" customHeight="1">
      <c r="C311" s="159"/>
      <c r="D311" s="155"/>
      <c r="E311" s="155"/>
      <c r="F311" s="155"/>
      <c r="G311" s="155"/>
      <c r="H311" s="155"/>
      <c r="I311" s="155"/>
      <c r="J311" s="155"/>
      <c r="K311" s="155"/>
      <c r="L311" s="155"/>
      <c r="M311" s="155"/>
    </row>
    <row r="312" spans="3:13" ht="14.1" customHeight="1">
      <c r="C312" s="159"/>
      <c r="D312" s="155"/>
      <c r="E312" s="155"/>
      <c r="F312" s="155"/>
      <c r="G312" s="155"/>
      <c r="H312" s="155"/>
      <c r="I312" s="155"/>
      <c r="J312" s="155"/>
      <c r="K312" s="155"/>
      <c r="L312" s="155"/>
      <c r="M312" s="155"/>
    </row>
    <row r="313" spans="3:13" ht="14.1" customHeight="1">
      <c r="C313" s="159"/>
      <c r="D313" s="155"/>
      <c r="E313" s="155"/>
      <c r="F313" s="155"/>
      <c r="G313" s="155"/>
      <c r="H313" s="155"/>
      <c r="I313" s="155"/>
      <c r="J313" s="155"/>
      <c r="K313" s="155"/>
      <c r="L313" s="155"/>
      <c r="M313" s="155"/>
    </row>
    <row r="314" spans="3:13" ht="14.1" customHeight="1">
      <c r="C314" s="159"/>
      <c r="D314" s="155"/>
      <c r="E314" s="155"/>
      <c r="F314" s="155"/>
      <c r="G314" s="155"/>
      <c r="H314" s="155"/>
      <c r="I314" s="155"/>
      <c r="J314" s="155"/>
      <c r="K314" s="155"/>
      <c r="L314" s="155"/>
      <c r="M314" s="155"/>
    </row>
    <row r="315" spans="3:13" ht="14.1" customHeight="1">
      <c r="C315" s="159"/>
      <c r="D315" s="155"/>
      <c r="E315" s="155"/>
      <c r="F315" s="155"/>
      <c r="G315" s="155"/>
      <c r="H315" s="155"/>
      <c r="I315" s="155"/>
      <c r="J315" s="155"/>
      <c r="K315" s="155"/>
      <c r="L315" s="155"/>
      <c r="M315" s="155"/>
    </row>
    <row r="316" spans="3:13" ht="14.1" customHeight="1">
      <c r="C316" s="159"/>
      <c r="D316" s="155"/>
      <c r="E316" s="155"/>
      <c r="F316" s="155"/>
      <c r="G316" s="155"/>
      <c r="H316" s="155"/>
      <c r="I316" s="155"/>
      <c r="J316" s="155"/>
      <c r="K316" s="155"/>
      <c r="L316" s="155"/>
      <c r="M316" s="155"/>
    </row>
    <row r="317" spans="3:13" ht="14.1" customHeight="1">
      <c r="C317" s="159"/>
      <c r="D317" s="155"/>
      <c r="E317" s="155"/>
      <c r="F317" s="155"/>
      <c r="G317" s="155"/>
      <c r="H317" s="155"/>
      <c r="I317" s="155"/>
      <c r="J317" s="155"/>
      <c r="K317" s="155"/>
      <c r="L317" s="155"/>
      <c r="M317" s="155"/>
    </row>
    <row r="318" spans="3:13" ht="14.1" customHeight="1">
      <c r="C318" s="159"/>
      <c r="D318" s="155"/>
      <c r="E318" s="155"/>
      <c r="F318" s="155"/>
      <c r="G318" s="155"/>
      <c r="H318" s="155"/>
      <c r="I318" s="155"/>
      <c r="J318" s="155"/>
      <c r="K318" s="155"/>
      <c r="L318" s="155"/>
      <c r="M318" s="155"/>
    </row>
    <row r="319" spans="3:13" ht="14.1" customHeight="1">
      <c r="C319" s="159"/>
      <c r="D319" s="155"/>
      <c r="E319" s="155"/>
      <c r="F319" s="155"/>
      <c r="G319" s="155"/>
      <c r="H319" s="155"/>
      <c r="I319" s="155"/>
      <c r="J319" s="155"/>
      <c r="K319" s="155"/>
      <c r="L319" s="155"/>
      <c r="M319" s="155"/>
    </row>
    <row r="320" spans="3:13" ht="14.1" customHeight="1">
      <c r="C320" s="159"/>
      <c r="D320" s="155"/>
      <c r="E320" s="155"/>
      <c r="F320" s="155"/>
      <c r="G320" s="155"/>
      <c r="H320" s="155"/>
      <c r="I320" s="155"/>
      <c r="J320" s="155"/>
      <c r="K320" s="155"/>
      <c r="L320" s="155"/>
      <c r="M320" s="155"/>
    </row>
    <row r="321" spans="3:13" ht="14.1" customHeight="1">
      <c r="C321" s="159"/>
      <c r="D321" s="155"/>
      <c r="E321" s="155"/>
      <c r="F321" s="155"/>
      <c r="G321" s="155"/>
      <c r="H321" s="155"/>
      <c r="I321" s="155"/>
      <c r="J321" s="155"/>
      <c r="K321" s="155"/>
      <c r="L321" s="155"/>
      <c r="M321" s="155"/>
    </row>
    <row r="322" spans="3:13" ht="14.1" customHeight="1">
      <c r="C322" s="159"/>
      <c r="D322" s="155"/>
      <c r="E322" s="155"/>
      <c r="F322" s="155"/>
      <c r="G322" s="155"/>
      <c r="H322" s="155"/>
      <c r="I322" s="155"/>
      <c r="J322" s="155"/>
      <c r="K322" s="155"/>
      <c r="L322" s="155"/>
      <c r="M322" s="155"/>
    </row>
    <row r="323" spans="3:13" ht="14.1" customHeight="1">
      <c r="C323" s="159"/>
      <c r="D323" s="155"/>
      <c r="E323" s="155"/>
      <c r="F323" s="155"/>
      <c r="G323" s="155"/>
      <c r="H323" s="155"/>
      <c r="I323" s="155"/>
      <c r="J323" s="155"/>
      <c r="K323" s="155"/>
      <c r="L323" s="155"/>
      <c r="M323" s="155"/>
    </row>
    <row r="324" spans="3:13" ht="14.1" customHeight="1">
      <c r="C324" s="159"/>
      <c r="D324" s="155"/>
      <c r="E324" s="155"/>
      <c r="F324" s="155"/>
      <c r="G324" s="155"/>
      <c r="H324" s="155"/>
      <c r="I324" s="155"/>
      <c r="J324" s="155"/>
      <c r="K324" s="155"/>
      <c r="L324" s="155"/>
      <c r="M324" s="155"/>
    </row>
    <row r="325" spans="3:13" ht="14.1" customHeight="1">
      <c r="C325" s="159"/>
      <c r="D325" s="155"/>
      <c r="E325" s="155"/>
      <c r="F325" s="155"/>
      <c r="G325" s="155"/>
      <c r="H325" s="155"/>
      <c r="I325" s="155"/>
      <c r="J325" s="155"/>
      <c r="K325" s="155"/>
      <c r="L325" s="155"/>
      <c r="M325" s="155"/>
    </row>
    <row r="326" spans="3:13" ht="14.1" customHeight="1">
      <c r="C326" s="159"/>
      <c r="D326" s="155"/>
      <c r="E326" s="155"/>
      <c r="F326" s="155"/>
      <c r="G326" s="155"/>
      <c r="H326" s="155"/>
      <c r="I326" s="155"/>
      <c r="J326" s="155"/>
      <c r="K326" s="155"/>
      <c r="L326" s="155"/>
      <c r="M326" s="155"/>
    </row>
    <row r="327" spans="3:13" ht="14.1" customHeight="1">
      <c r="C327" s="159"/>
      <c r="D327" s="155"/>
      <c r="E327" s="155"/>
      <c r="F327" s="155"/>
      <c r="G327" s="155"/>
      <c r="H327" s="155"/>
      <c r="I327" s="155"/>
      <c r="J327" s="155"/>
      <c r="K327" s="155"/>
      <c r="L327" s="155"/>
      <c r="M327" s="155"/>
    </row>
    <row r="328" spans="3:13" ht="14.1" customHeight="1">
      <c r="C328" s="159"/>
      <c r="D328" s="155"/>
      <c r="E328" s="155"/>
      <c r="F328" s="155"/>
      <c r="G328" s="155"/>
      <c r="H328" s="155"/>
      <c r="I328" s="155"/>
      <c r="J328" s="155"/>
      <c r="K328" s="155"/>
      <c r="L328" s="155"/>
      <c r="M328" s="155"/>
    </row>
    <row r="329" spans="3:13" ht="14.1" customHeight="1">
      <c r="C329" s="159"/>
      <c r="D329" s="155"/>
      <c r="E329" s="155"/>
      <c r="F329" s="155"/>
      <c r="G329" s="155"/>
      <c r="H329" s="155"/>
      <c r="I329" s="155"/>
      <c r="J329" s="155"/>
      <c r="K329" s="155"/>
      <c r="L329" s="155"/>
      <c r="M329" s="155"/>
    </row>
    <row r="330" spans="3:13" ht="14.1" customHeight="1">
      <c r="C330" s="159"/>
      <c r="D330" s="155"/>
      <c r="E330" s="155"/>
      <c r="F330" s="155"/>
      <c r="G330" s="155"/>
      <c r="H330" s="155"/>
      <c r="I330" s="155"/>
      <c r="J330" s="155"/>
      <c r="K330" s="155"/>
      <c r="L330" s="155"/>
      <c r="M330" s="155"/>
    </row>
    <row r="331" spans="3:13" ht="14.1" customHeight="1">
      <c r="C331" s="159"/>
      <c r="D331" s="155"/>
      <c r="E331" s="155"/>
      <c r="F331" s="155"/>
      <c r="G331" s="155"/>
      <c r="H331" s="155"/>
      <c r="I331" s="155"/>
      <c r="J331" s="155"/>
      <c r="K331" s="155"/>
      <c r="L331" s="155"/>
      <c r="M331" s="155"/>
    </row>
    <row r="332" spans="3:13" ht="14.1" customHeight="1">
      <c r="C332" s="159"/>
      <c r="D332" s="155"/>
      <c r="E332" s="155"/>
      <c r="F332" s="155"/>
      <c r="G332" s="155"/>
      <c r="H332" s="155"/>
      <c r="I332" s="155"/>
      <c r="J332" s="155"/>
      <c r="K332" s="155"/>
      <c r="L332" s="155"/>
      <c r="M332" s="155"/>
    </row>
    <row r="333" spans="3:13" ht="14.1" customHeight="1">
      <c r="C333" s="159"/>
      <c r="D333" s="155"/>
      <c r="E333" s="155"/>
      <c r="F333" s="155"/>
      <c r="G333" s="155"/>
      <c r="H333" s="155"/>
      <c r="I333" s="155"/>
      <c r="J333" s="155"/>
      <c r="K333" s="155"/>
      <c r="L333" s="155"/>
      <c r="M333" s="155"/>
    </row>
    <row r="334" spans="3:13" ht="14.1" customHeight="1">
      <c r="C334" s="159"/>
      <c r="D334" s="155"/>
      <c r="E334" s="155"/>
      <c r="F334" s="155"/>
      <c r="G334" s="155"/>
      <c r="H334" s="155"/>
      <c r="I334" s="155"/>
      <c r="J334" s="155"/>
      <c r="K334" s="155"/>
      <c r="L334" s="155"/>
      <c r="M334" s="155"/>
    </row>
    <row r="335" spans="3:13" ht="14.1" customHeight="1">
      <c r="C335" s="159"/>
      <c r="D335" s="155"/>
      <c r="E335" s="155"/>
      <c r="F335" s="155"/>
      <c r="G335" s="155"/>
      <c r="H335" s="155"/>
      <c r="I335" s="155"/>
      <c r="J335" s="155"/>
      <c r="K335" s="155"/>
      <c r="L335" s="155"/>
      <c r="M335" s="155"/>
    </row>
    <row r="336" spans="3:13" ht="14.1" customHeight="1">
      <c r="C336" s="159"/>
      <c r="D336" s="155"/>
      <c r="E336" s="155"/>
      <c r="F336" s="155"/>
      <c r="G336" s="155"/>
      <c r="H336" s="155"/>
      <c r="I336" s="155"/>
      <c r="J336" s="155"/>
      <c r="K336" s="155"/>
      <c r="L336" s="155"/>
      <c r="M336" s="155"/>
    </row>
    <row r="337" spans="3:13" ht="14.1" customHeight="1">
      <c r="C337" s="159"/>
      <c r="D337" s="155"/>
      <c r="E337" s="155"/>
      <c r="F337" s="155"/>
      <c r="G337" s="155"/>
      <c r="H337" s="155"/>
      <c r="I337" s="155"/>
      <c r="J337" s="155"/>
      <c r="K337" s="155"/>
      <c r="L337" s="155"/>
      <c r="M337" s="155"/>
    </row>
    <row r="338" spans="3:13" ht="14.1" customHeight="1">
      <c r="C338" s="159"/>
      <c r="D338" s="155"/>
      <c r="E338" s="155"/>
      <c r="F338" s="155"/>
      <c r="G338" s="155"/>
      <c r="H338" s="155"/>
      <c r="I338" s="155"/>
      <c r="J338" s="155"/>
      <c r="K338" s="155"/>
      <c r="L338" s="155"/>
      <c r="M338" s="155"/>
    </row>
    <row r="339" spans="3:13" ht="14.1" customHeight="1">
      <c r="C339" s="159"/>
      <c r="D339" s="155"/>
      <c r="E339" s="155"/>
      <c r="F339" s="155"/>
      <c r="G339" s="155"/>
      <c r="H339" s="155"/>
      <c r="I339" s="155"/>
      <c r="J339" s="155"/>
      <c r="K339" s="155"/>
      <c r="L339" s="155"/>
      <c r="M339" s="155"/>
    </row>
    <row r="340" spans="3:13" ht="14.1" customHeight="1">
      <c r="C340" s="159"/>
      <c r="D340" s="155"/>
      <c r="E340" s="155"/>
      <c r="F340" s="155"/>
      <c r="G340" s="155"/>
      <c r="H340" s="155"/>
      <c r="I340" s="155"/>
      <c r="J340" s="155"/>
      <c r="K340" s="155"/>
      <c r="L340" s="155"/>
      <c r="M340" s="155"/>
    </row>
    <row r="341" spans="3:13" ht="14.1" customHeight="1">
      <c r="C341" s="159"/>
      <c r="D341" s="155"/>
      <c r="E341" s="155"/>
      <c r="F341" s="155"/>
      <c r="G341" s="155"/>
      <c r="H341" s="155"/>
      <c r="I341" s="155"/>
      <c r="J341" s="155"/>
      <c r="K341" s="155"/>
      <c r="L341" s="155"/>
      <c r="M341" s="155"/>
    </row>
    <row r="342" spans="3:13" ht="14.1" customHeight="1">
      <c r="C342" s="159"/>
      <c r="D342" s="155"/>
      <c r="E342" s="155"/>
      <c r="F342" s="155"/>
      <c r="G342" s="155"/>
      <c r="H342" s="155"/>
      <c r="I342" s="155"/>
      <c r="J342" s="155"/>
      <c r="K342" s="155"/>
      <c r="L342" s="155"/>
      <c r="M342" s="155"/>
    </row>
    <row r="343" spans="3:13" ht="14.1" customHeight="1">
      <c r="C343" s="159"/>
      <c r="D343" s="155"/>
      <c r="E343" s="155"/>
      <c r="F343" s="155"/>
      <c r="G343" s="155"/>
      <c r="H343" s="155"/>
      <c r="I343" s="155"/>
      <c r="J343" s="155"/>
      <c r="K343" s="155"/>
      <c r="L343" s="155"/>
      <c r="M343" s="155"/>
    </row>
    <row r="344" spans="3:13" ht="14.1" customHeight="1">
      <c r="C344" s="159"/>
      <c r="D344" s="155"/>
      <c r="E344" s="155"/>
      <c r="F344" s="155"/>
      <c r="G344" s="155"/>
      <c r="H344" s="155"/>
      <c r="I344" s="155"/>
      <c r="J344" s="155"/>
      <c r="K344" s="155"/>
      <c r="L344" s="155"/>
      <c r="M344" s="155"/>
    </row>
    <row r="345" spans="3:13" ht="14.1" customHeight="1">
      <c r="C345" s="159"/>
      <c r="D345" s="155"/>
      <c r="E345" s="155"/>
      <c r="F345" s="155"/>
      <c r="G345" s="155"/>
      <c r="H345" s="155"/>
      <c r="I345" s="155"/>
      <c r="J345" s="155"/>
      <c r="K345" s="155"/>
      <c r="L345" s="155"/>
      <c r="M345" s="155"/>
    </row>
    <row r="346" spans="3:13" ht="14.1" customHeight="1">
      <c r="C346" s="159"/>
      <c r="D346" s="155"/>
      <c r="E346" s="155"/>
      <c r="F346" s="155"/>
      <c r="G346" s="155"/>
      <c r="H346" s="155"/>
      <c r="I346" s="155"/>
      <c r="J346" s="155"/>
      <c r="K346" s="155"/>
      <c r="L346" s="155"/>
      <c r="M346" s="155"/>
    </row>
    <row r="347" spans="3:13" ht="14.1" customHeight="1">
      <c r="C347" s="159"/>
      <c r="D347" s="155"/>
      <c r="E347" s="155"/>
      <c r="F347" s="155"/>
      <c r="G347" s="155"/>
      <c r="H347" s="155"/>
      <c r="I347" s="155"/>
      <c r="J347" s="155"/>
      <c r="K347" s="155"/>
      <c r="L347" s="155"/>
      <c r="M347" s="155"/>
    </row>
    <row r="348" spans="3:13" ht="14.1" customHeight="1">
      <c r="C348" s="159"/>
      <c r="D348" s="155"/>
      <c r="E348" s="155"/>
      <c r="F348" s="155"/>
      <c r="G348" s="155"/>
      <c r="H348" s="155"/>
      <c r="I348" s="155"/>
      <c r="J348" s="155"/>
      <c r="K348" s="155"/>
      <c r="L348" s="155"/>
      <c r="M348" s="155"/>
    </row>
    <row r="349" spans="3:13" ht="14.1" customHeight="1">
      <c r="C349" s="159"/>
      <c r="D349" s="155"/>
      <c r="E349" s="155"/>
      <c r="F349" s="155"/>
      <c r="G349" s="155"/>
      <c r="H349" s="155"/>
      <c r="I349" s="155"/>
      <c r="J349" s="155"/>
      <c r="K349" s="155"/>
      <c r="L349" s="155"/>
      <c r="M349" s="155"/>
    </row>
    <row r="350" spans="3:13" ht="14.1" customHeight="1">
      <c r="C350" s="159"/>
      <c r="D350" s="155"/>
      <c r="E350" s="155"/>
      <c r="F350" s="155"/>
      <c r="G350" s="155"/>
      <c r="H350" s="155"/>
      <c r="I350" s="155"/>
      <c r="J350" s="155"/>
      <c r="K350" s="155"/>
      <c r="L350" s="155"/>
      <c r="M350" s="155"/>
    </row>
    <row r="351" spans="3:13" ht="14.1" customHeight="1">
      <c r="C351" s="159"/>
      <c r="D351" s="155"/>
      <c r="E351" s="155"/>
      <c r="F351" s="155"/>
      <c r="G351" s="155"/>
      <c r="H351" s="155"/>
      <c r="I351" s="155"/>
      <c r="J351" s="155"/>
      <c r="K351" s="155"/>
      <c r="L351" s="155"/>
      <c r="M351" s="155"/>
    </row>
    <row r="352" spans="3:13" ht="14.1" customHeight="1">
      <c r="C352" s="159"/>
      <c r="D352" s="155"/>
      <c r="E352" s="155"/>
      <c r="F352" s="155"/>
      <c r="G352" s="155"/>
      <c r="H352" s="155"/>
      <c r="I352" s="155"/>
      <c r="J352" s="155"/>
      <c r="K352" s="155"/>
      <c r="L352" s="155"/>
      <c r="M352" s="155"/>
    </row>
    <row r="353" spans="3:13" ht="14.1" customHeight="1">
      <c r="C353" s="159"/>
      <c r="D353" s="155"/>
      <c r="E353" s="155"/>
      <c r="F353" s="155"/>
      <c r="G353" s="155"/>
      <c r="H353" s="155"/>
      <c r="I353" s="155"/>
      <c r="J353" s="155"/>
      <c r="K353" s="155"/>
      <c r="L353" s="155"/>
      <c r="M353" s="155"/>
    </row>
    <row r="354" spans="3:13" ht="14.1" customHeight="1">
      <c r="C354" s="159"/>
      <c r="D354" s="155"/>
      <c r="E354" s="155"/>
      <c r="F354" s="155"/>
      <c r="G354" s="155"/>
      <c r="H354" s="155"/>
      <c r="I354" s="155"/>
      <c r="J354" s="155"/>
      <c r="K354" s="155"/>
      <c r="L354" s="155"/>
      <c r="M354" s="155"/>
    </row>
    <row r="355" spans="3:13" ht="14.1" customHeight="1">
      <c r="C355" s="159"/>
      <c r="D355" s="155"/>
      <c r="E355" s="155"/>
      <c r="F355" s="155"/>
      <c r="G355" s="155"/>
      <c r="H355" s="155"/>
      <c r="I355" s="155"/>
      <c r="J355" s="155"/>
      <c r="K355" s="155"/>
      <c r="L355" s="155"/>
      <c r="M355" s="155"/>
    </row>
    <row r="356" spans="3:13" ht="14.1" customHeight="1">
      <c r="C356" s="159"/>
      <c r="D356" s="155"/>
      <c r="E356" s="155"/>
      <c r="F356" s="155"/>
      <c r="G356" s="155"/>
      <c r="H356" s="155"/>
      <c r="I356" s="155"/>
      <c r="J356" s="155"/>
      <c r="K356" s="155"/>
      <c r="L356" s="155"/>
      <c r="M356" s="155"/>
    </row>
    <row r="357" spans="3:13" ht="14.1" customHeight="1">
      <c r="C357" s="159"/>
      <c r="D357" s="155"/>
      <c r="E357" s="155"/>
      <c r="F357" s="155"/>
      <c r="G357" s="155"/>
      <c r="H357" s="155"/>
      <c r="I357" s="155"/>
      <c r="J357" s="155"/>
      <c r="K357" s="155"/>
      <c r="L357" s="155"/>
      <c r="M357" s="155"/>
    </row>
    <row r="358" spans="3:13" ht="14.1" customHeight="1">
      <c r="C358" s="159"/>
      <c r="D358" s="155"/>
      <c r="E358" s="155"/>
      <c r="F358" s="155"/>
      <c r="G358" s="155"/>
      <c r="H358" s="155"/>
      <c r="I358" s="155"/>
      <c r="J358" s="155"/>
      <c r="K358" s="155"/>
      <c r="L358" s="155"/>
      <c r="M358" s="155"/>
    </row>
    <row r="359" spans="3:13" ht="14.1" customHeight="1">
      <c r="C359" s="159"/>
      <c r="D359" s="155"/>
      <c r="E359" s="155"/>
      <c r="F359" s="155"/>
      <c r="G359" s="155"/>
      <c r="H359" s="155"/>
      <c r="I359" s="155"/>
      <c r="J359" s="155"/>
      <c r="K359" s="155"/>
      <c r="L359" s="155"/>
      <c r="M359" s="155"/>
    </row>
    <row r="360" spans="3:13" ht="14.1" customHeight="1">
      <c r="C360" s="159"/>
      <c r="D360" s="155"/>
      <c r="E360" s="155"/>
      <c r="F360" s="155"/>
      <c r="G360" s="155"/>
      <c r="H360" s="155"/>
      <c r="I360" s="155"/>
      <c r="J360" s="155"/>
      <c r="K360" s="155"/>
      <c r="L360" s="155"/>
      <c r="M360" s="155"/>
    </row>
    <row r="361" spans="3:13" ht="14.1" customHeight="1">
      <c r="C361" s="159"/>
      <c r="D361" s="155"/>
      <c r="E361" s="155"/>
      <c r="F361" s="155"/>
      <c r="G361" s="155"/>
      <c r="H361" s="155"/>
      <c r="I361" s="155"/>
      <c r="J361" s="155"/>
      <c r="K361" s="155"/>
      <c r="L361" s="155"/>
      <c r="M361" s="155"/>
    </row>
    <row r="362" spans="3:13" ht="14.1" customHeight="1">
      <c r="C362" s="159"/>
      <c r="D362" s="155"/>
      <c r="E362" s="155"/>
      <c r="F362" s="155"/>
      <c r="G362" s="155"/>
      <c r="H362" s="155"/>
      <c r="I362" s="155"/>
      <c r="J362" s="155"/>
      <c r="K362" s="155"/>
      <c r="L362" s="155"/>
      <c r="M362" s="155"/>
    </row>
    <row r="363" spans="3:13" ht="14.1" customHeight="1">
      <c r="C363" s="159"/>
      <c r="D363" s="155"/>
      <c r="E363" s="155"/>
      <c r="F363" s="155"/>
      <c r="G363" s="155"/>
      <c r="H363" s="155"/>
      <c r="I363" s="155"/>
      <c r="J363" s="155"/>
      <c r="K363" s="155"/>
      <c r="L363" s="155"/>
      <c r="M363" s="155"/>
    </row>
    <row r="364" spans="3:13" ht="14.1" customHeight="1">
      <c r="C364" s="159"/>
      <c r="D364" s="155"/>
      <c r="E364" s="155"/>
      <c r="F364" s="155"/>
      <c r="G364" s="155"/>
      <c r="H364" s="155"/>
      <c r="I364" s="155"/>
      <c r="J364" s="155"/>
      <c r="K364" s="155"/>
      <c r="L364" s="155"/>
      <c r="M364" s="155"/>
    </row>
    <row r="365" spans="3:13" ht="14.1" customHeight="1">
      <c r="C365" s="159"/>
      <c r="D365" s="155"/>
      <c r="E365" s="155"/>
      <c r="F365" s="155"/>
      <c r="G365" s="155"/>
      <c r="H365" s="155"/>
      <c r="I365" s="155"/>
      <c r="J365" s="155"/>
      <c r="K365" s="155"/>
      <c r="L365" s="155"/>
      <c r="M365" s="155"/>
    </row>
    <row r="366" spans="3:13" ht="14.1" customHeight="1">
      <c r="C366" s="159"/>
      <c r="D366" s="155"/>
      <c r="E366" s="155"/>
      <c r="F366" s="155"/>
      <c r="G366" s="155"/>
      <c r="H366" s="155"/>
      <c r="I366" s="155"/>
      <c r="J366" s="155"/>
      <c r="K366" s="155"/>
      <c r="L366" s="155"/>
      <c r="M366" s="155"/>
    </row>
    <row r="367" spans="3:13" ht="14.1" customHeight="1">
      <c r="C367" s="159"/>
      <c r="D367" s="155"/>
      <c r="E367" s="155"/>
      <c r="F367" s="155"/>
      <c r="G367" s="155"/>
      <c r="H367" s="155"/>
      <c r="I367" s="155"/>
      <c r="J367" s="155"/>
      <c r="K367" s="155"/>
      <c r="L367" s="155"/>
      <c r="M367" s="155"/>
    </row>
    <row r="368" spans="3:13" ht="14.1" customHeight="1">
      <c r="C368" s="159"/>
      <c r="D368" s="155"/>
      <c r="E368" s="155"/>
      <c r="F368" s="155"/>
      <c r="G368" s="155"/>
      <c r="H368" s="155"/>
      <c r="I368" s="155"/>
      <c r="J368" s="155"/>
      <c r="K368" s="155"/>
      <c r="L368" s="155"/>
      <c r="M368" s="155"/>
    </row>
    <row r="369" spans="3:13" ht="14.1" customHeight="1">
      <c r="C369" s="159"/>
      <c r="D369" s="155"/>
      <c r="E369" s="155"/>
      <c r="F369" s="155"/>
      <c r="G369" s="155"/>
      <c r="H369" s="155"/>
      <c r="I369" s="155"/>
      <c r="J369" s="155"/>
      <c r="K369" s="155"/>
      <c r="L369" s="155"/>
      <c r="M369" s="155"/>
    </row>
    <row r="370" spans="3:13" ht="14.1" customHeight="1">
      <c r="C370" s="159"/>
      <c r="D370" s="155"/>
      <c r="E370" s="155"/>
      <c r="F370" s="155"/>
      <c r="G370" s="155"/>
      <c r="H370" s="155"/>
      <c r="I370" s="155"/>
      <c r="J370" s="155"/>
      <c r="K370" s="155"/>
      <c r="L370" s="155"/>
      <c r="M370" s="155"/>
    </row>
    <row r="371" spans="3:13" ht="14.1" customHeight="1">
      <c r="C371" s="159"/>
      <c r="D371" s="155"/>
      <c r="E371" s="155"/>
      <c r="F371" s="155"/>
      <c r="G371" s="155"/>
      <c r="H371" s="155"/>
      <c r="I371" s="155"/>
      <c r="J371" s="155"/>
      <c r="K371" s="155"/>
      <c r="L371" s="155"/>
      <c r="M371" s="155"/>
    </row>
    <row r="372" spans="3:13" ht="14.1" customHeight="1">
      <c r="C372" s="159"/>
      <c r="D372" s="155"/>
      <c r="E372" s="155"/>
      <c r="F372" s="155"/>
      <c r="G372" s="155"/>
      <c r="H372" s="155"/>
      <c r="I372" s="155"/>
      <c r="J372" s="155"/>
      <c r="K372" s="155"/>
      <c r="L372" s="155"/>
      <c r="M372" s="155"/>
    </row>
    <row r="373" spans="3:13" ht="14.1" customHeight="1">
      <c r="C373" s="159"/>
      <c r="D373" s="155"/>
      <c r="E373" s="155"/>
      <c r="F373" s="155"/>
      <c r="G373" s="155"/>
      <c r="H373" s="155"/>
      <c r="I373" s="155"/>
      <c r="J373" s="155"/>
      <c r="K373" s="155"/>
      <c r="L373" s="155"/>
      <c r="M373" s="155"/>
    </row>
    <row r="374" spans="3:13" ht="14.1" customHeight="1">
      <c r="C374" s="159"/>
      <c r="D374" s="155"/>
      <c r="E374" s="155"/>
      <c r="F374" s="155"/>
      <c r="G374" s="155"/>
      <c r="H374" s="155"/>
      <c r="I374" s="155"/>
      <c r="J374" s="155"/>
      <c r="K374" s="155"/>
      <c r="L374" s="155"/>
      <c r="M374" s="155"/>
    </row>
    <row r="375" spans="3:13" ht="14.1" customHeight="1">
      <c r="C375" s="159"/>
      <c r="D375" s="155"/>
      <c r="E375" s="155"/>
      <c r="F375" s="155"/>
      <c r="G375" s="155"/>
      <c r="H375" s="155"/>
      <c r="I375" s="155"/>
      <c r="J375" s="155"/>
      <c r="K375" s="155"/>
      <c r="L375" s="155"/>
      <c r="M375" s="155"/>
    </row>
    <row r="376" spans="3:13" ht="14.1" customHeight="1">
      <c r="C376" s="159"/>
      <c r="D376" s="155"/>
      <c r="E376" s="155"/>
      <c r="F376" s="155"/>
      <c r="G376" s="155"/>
      <c r="H376" s="155"/>
      <c r="I376" s="155"/>
      <c r="J376" s="155"/>
      <c r="K376" s="155"/>
      <c r="L376" s="155"/>
      <c r="M376" s="155"/>
    </row>
    <row r="377" spans="3:13" ht="14.1" customHeight="1">
      <c r="C377" s="159"/>
      <c r="D377" s="155"/>
      <c r="E377" s="155"/>
      <c r="F377" s="155"/>
      <c r="G377" s="155"/>
      <c r="H377" s="155"/>
      <c r="I377" s="155"/>
      <c r="J377" s="155"/>
      <c r="K377" s="155"/>
      <c r="L377" s="155"/>
      <c r="M377" s="155"/>
    </row>
    <row r="378" spans="3:13" ht="14.1" customHeight="1">
      <c r="C378" s="159"/>
      <c r="D378" s="155"/>
      <c r="E378" s="155"/>
      <c r="F378" s="155"/>
      <c r="G378" s="155"/>
      <c r="H378" s="155"/>
      <c r="I378" s="155"/>
      <c r="J378" s="155"/>
      <c r="K378" s="155"/>
      <c r="L378" s="155"/>
      <c r="M378" s="155"/>
    </row>
    <row r="379" spans="3:13" ht="14.1" customHeight="1">
      <c r="C379" s="159"/>
      <c r="D379" s="155"/>
      <c r="E379" s="155"/>
      <c r="F379" s="155"/>
      <c r="G379" s="155"/>
      <c r="H379" s="155"/>
      <c r="I379" s="155"/>
      <c r="J379" s="155"/>
      <c r="K379" s="155"/>
      <c r="L379" s="155"/>
      <c r="M379" s="155"/>
    </row>
    <row r="380" spans="3:13" ht="14.1" customHeight="1">
      <c r="C380" s="159"/>
      <c r="D380" s="155"/>
      <c r="E380" s="155"/>
      <c r="F380" s="155"/>
      <c r="G380" s="155"/>
      <c r="H380" s="155"/>
      <c r="I380" s="155"/>
      <c r="J380" s="155"/>
      <c r="K380" s="155"/>
      <c r="L380" s="155"/>
      <c r="M380" s="155"/>
    </row>
    <row r="381" spans="3:13" ht="14.1" customHeight="1">
      <c r="C381" s="159"/>
      <c r="D381" s="155"/>
      <c r="E381" s="155"/>
      <c r="F381" s="155"/>
      <c r="G381" s="155"/>
      <c r="H381" s="155"/>
      <c r="I381" s="155"/>
      <c r="J381" s="155"/>
      <c r="K381" s="155"/>
      <c r="L381" s="155"/>
      <c r="M381" s="155"/>
    </row>
    <row r="382" spans="3:13" ht="14.1" customHeight="1">
      <c r="C382" s="159"/>
      <c r="D382" s="155"/>
      <c r="E382" s="155"/>
      <c r="F382" s="155"/>
      <c r="G382" s="155"/>
      <c r="H382" s="155"/>
      <c r="I382" s="155"/>
      <c r="J382" s="155"/>
      <c r="K382" s="155"/>
      <c r="L382" s="155"/>
      <c r="M382" s="155"/>
    </row>
    <row r="383" spans="3:13" ht="14.1" customHeight="1">
      <c r="C383" s="159"/>
      <c r="D383" s="155"/>
      <c r="E383" s="155"/>
      <c r="F383" s="155"/>
      <c r="G383" s="155"/>
      <c r="H383" s="155"/>
      <c r="I383" s="155"/>
      <c r="J383" s="155"/>
      <c r="K383" s="155"/>
      <c r="L383" s="155"/>
      <c r="M383" s="155"/>
    </row>
    <row r="384" spans="3:13" ht="14.1" customHeight="1">
      <c r="C384" s="159"/>
      <c r="D384" s="155"/>
      <c r="E384" s="155"/>
      <c r="F384" s="155"/>
      <c r="G384" s="155"/>
      <c r="H384" s="155"/>
      <c r="I384" s="155"/>
      <c r="J384" s="155"/>
      <c r="K384" s="155"/>
      <c r="L384" s="155"/>
      <c r="M384" s="155"/>
    </row>
    <row r="385" spans="3:13" ht="14.1" customHeight="1">
      <c r="C385" s="159"/>
      <c r="D385" s="155"/>
      <c r="E385" s="155"/>
      <c r="F385" s="155"/>
      <c r="G385" s="155"/>
      <c r="H385" s="155"/>
      <c r="I385" s="155"/>
      <c r="J385" s="155"/>
      <c r="K385" s="155"/>
      <c r="L385" s="155"/>
      <c r="M385" s="155"/>
    </row>
    <row r="386" spans="3:13" ht="14.1" customHeight="1">
      <c r="C386" s="159"/>
      <c r="D386" s="155"/>
      <c r="E386" s="155"/>
      <c r="F386" s="155"/>
      <c r="G386" s="155"/>
      <c r="H386" s="155"/>
      <c r="I386" s="155"/>
      <c r="J386" s="155"/>
      <c r="K386" s="155"/>
      <c r="L386" s="155"/>
      <c r="M386" s="155"/>
    </row>
    <row r="387" spans="3:13" ht="14.1" customHeight="1">
      <c r="C387" s="159"/>
      <c r="D387" s="155"/>
      <c r="E387" s="155"/>
      <c r="F387" s="155"/>
      <c r="G387" s="155"/>
      <c r="H387" s="155"/>
      <c r="I387" s="155"/>
      <c r="J387" s="155"/>
      <c r="K387" s="155"/>
      <c r="L387" s="155"/>
      <c r="M387" s="155"/>
    </row>
    <row r="388" spans="3:13" ht="14.1" customHeight="1">
      <c r="C388" s="159"/>
      <c r="D388" s="155"/>
      <c r="E388" s="155"/>
      <c r="F388" s="155"/>
      <c r="G388" s="155"/>
      <c r="H388" s="155"/>
      <c r="I388" s="155"/>
      <c r="J388" s="155"/>
      <c r="K388" s="155"/>
      <c r="L388" s="155"/>
      <c r="M388" s="155"/>
    </row>
    <row r="389" spans="3:13" ht="14.1" customHeight="1">
      <c r="C389" s="159"/>
      <c r="D389" s="155"/>
      <c r="E389" s="155"/>
      <c r="F389" s="155"/>
      <c r="G389" s="155"/>
      <c r="H389" s="155"/>
      <c r="I389" s="155"/>
      <c r="J389" s="155"/>
      <c r="K389" s="155"/>
      <c r="L389" s="155"/>
      <c r="M389" s="155"/>
    </row>
    <row r="390" spans="3:13" ht="14.1" customHeight="1">
      <c r="C390" s="159"/>
      <c r="D390" s="155"/>
      <c r="E390" s="155"/>
      <c r="F390" s="155"/>
      <c r="G390" s="155"/>
      <c r="H390" s="155"/>
      <c r="I390" s="155"/>
      <c r="J390" s="155"/>
      <c r="K390" s="155"/>
      <c r="L390" s="155"/>
      <c r="M390" s="155"/>
    </row>
    <row r="391" spans="3:13" ht="14.1" customHeight="1">
      <c r="C391" s="159"/>
      <c r="D391" s="155"/>
      <c r="E391" s="155"/>
      <c r="F391" s="155"/>
      <c r="G391" s="155"/>
      <c r="H391" s="155"/>
      <c r="I391" s="155"/>
      <c r="J391" s="155"/>
      <c r="K391" s="155"/>
      <c r="L391" s="155"/>
      <c r="M391" s="155"/>
    </row>
    <row r="392" spans="3:13" ht="14.1" customHeight="1">
      <c r="C392" s="159"/>
      <c r="D392" s="155"/>
      <c r="E392" s="155"/>
      <c r="F392" s="155"/>
      <c r="G392" s="155"/>
      <c r="H392" s="155"/>
      <c r="I392" s="155"/>
      <c r="J392" s="155"/>
      <c r="K392" s="155"/>
      <c r="L392" s="155"/>
      <c r="M392" s="155"/>
    </row>
    <row r="393" spans="3:13" ht="14.1" customHeight="1">
      <c r="C393" s="159"/>
      <c r="D393" s="155"/>
      <c r="E393" s="155"/>
      <c r="F393" s="155"/>
      <c r="G393" s="155"/>
      <c r="H393" s="155"/>
      <c r="I393" s="155"/>
      <c r="J393" s="155"/>
      <c r="K393" s="155"/>
      <c r="L393" s="155"/>
      <c r="M393" s="155"/>
    </row>
    <row r="394" spans="3:13" ht="14.1" customHeight="1">
      <c r="C394" s="159"/>
      <c r="D394" s="155"/>
      <c r="E394" s="155"/>
      <c r="F394" s="155"/>
      <c r="G394" s="155"/>
      <c r="H394" s="155"/>
      <c r="I394" s="155"/>
      <c r="J394" s="155"/>
      <c r="K394" s="155"/>
      <c r="L394" s="155"/>
      <c r="M394" s="155"/>
    </row>
    <row r="395" spans="3:13" ht="14.1" customHeight="1">
      <c r="C395" s="159"/>
      <c r="D395" s="155"/>
      <c r="E395" s="155"/>
      <c r="F395" s="155"/>
      <c r="G395" s="155"/>
      <c r="H395" s="155"/>
      <c r="I395" s="155"/>
      <c r="J395" s="155"/>
      <c r="K395" s="155"/>
      <c r="L395" s="155"/>
      <c r="M395" s="155"/>
    </row>
    <row r="396" spans="3:13" ht="14.1" customHeight="1">
      <c r="C396" s="159"/>
      <c r="D396" s="155"/>
      <c r="E396" s="155"/>
      <c r="F396" s="155"/>
      <c r="G396" s="155"/>
      <c r="H396" s="155"/>
      <c r="I396" s="155"/>
      <c r="J396" s="155"/>
      <c r="K396" s="155"/>
      <c r="L396" s="155"/>
      <c r="M396" s="155"/>
    </row>
    <row r="397" spans="3:13" ht="14.1" customHeight="1">
      <c r="C397" s="159"/>
      <c r="D397" s="155"/>
      <c r="E397" s="155"/>
      <c r="F397" s="155"/>
      <c r="G397" s="155"/>
      <c r="H397" s="155"/>
      <c r="I397" s="155"/>
      <c r="J397" s="155"/>
      <c r="K397" s="155"/>
      <c r="L397" s="155"/>
      <c r="M397" s="155"/>
    </row>
    <row r="398" spans="3:13" ht="14.1" customHeight="1">
      <c r="C398" s="159"/>
      <c r="D398" s="155"/>
      <c r="E398" s="155"/>
      <c r="F398" s="155"/>
      <c r="G398" s="155"/>
      <c r="H398" s="155"/>
      <c r="I398" s="155"/>
      <c r="J398" s="155"/>
      <c r="K398" s="155"/>
      <c r="L398" s="155"/>
      <c r="M398" s="155"/>
    </row>
    <row r="399" spans="3:13" ht="14.1" customHeight="1">
      <c r="C399" s="159"/>
      <c r="D399" s="155"/>
      <c r="E399" s="155"/>
      <c r="F399" s="155"/>
      <c r="G399" s="155"/>
      <c r="H399" s="155"/>
      <c r="I399" s="155"/>
      <c r="J399" s="155"/>
      <c r="K399" s="155"/>
      <c r="L399" s="155"/>
      <c r="M399" s="155"/>
    </row>
    <row r="400" spans="3:13" ht="14.1" customHeight="1">
      <c r="C400" s="159"/>
      <c r="D400" s="155"/>
      <c r="E400" s="155"/>
      <c r="F400" s="155"/>
      <c r="G400" s="155"/>
      <c r="H400" s="155"/>
      <c r="I400" s="155"/>
      <c r="J400" s="155"/>
      <c r="K400" s="155"/>
      <c r="L400" s="155"/>
      <c r="M400" s="155"/>
    </row>
    <row r="401" spans="3:13" ht="14.1" customHeight="1">
      <c r="C401" s="159"/>
      <c r="D401" s="155"/>
      <c r="E401" s="155"/>
      <c r="F401" s="155"/>
      <c r="G401" s="155"/>
      <c r="H401" s="155"/>
      <c r="I401" s="155"/>
      <c r="J401" s="155"/>
      <c r="K401" s="155"/>
      <c r="L401" s="155"/>
      <c r="M401" s="155"/>
    </row>
    <row r="402" spans="3:13" ht="14.1" customHeight="1">
      <c r="C402" s="159"/>
      <c r="D402" s="155"/>
      <c r="E402" s="155"/>
      <c r="F402" s="155"/>
      <c r="G402" s="155"/>
      <c r="H402" s="155"/>
      <c r="I402" s="155"/>
      <c r="J402" s="155"/>
      <c r="K402" s="155"/>
      <c r="L402" s="155"/>
      <c r="M402" s="155"/>
    </row>
    <row r="403" spans="3:13" ht="14.1" customHeight="1">
      <c r="C403" s="159"/>
      <c r="D403" s="155"/>
      <c r="E403" s="155"/>
      <c r="F403" s="155"/>
      <c r="G403" s="155"/>
      <c r="H403" s="155"/>
      <c r="I403" s="155"/>
      <c r="J403" s="155"/>
      <c r="K403" s="155"/>
      <c r="L403" s="155"/>
      <c r="M403" s="155"/>
    </row>
    <row r="404" spans="3:13" ht="14.1" customHeight="1">
      <c r="C404" s="159"/>
      <c r="D404" s="155"/>
      <c r="E404" s="155"/>
      <c r="F404" s="155"/>
      <c r="G404" s="155"/>
      <c r="H404" s="155"/>
      <c r="I404" s="155"/>
      <c r="J404" s="155"/>
      <c r="K404" s="155"/>
      <c r="L404" s="155"/>
      <c r="M404" s="155"/>
    </row>
    <row r="405" spans="3:13" ht="14.1" customHeight="1">
      <c r="C405" s="159"/>
      <c r="D405" s="155"/>
      <c r="E405" s="155"/>
      <c r="F405" s="155"/>
      <c r="G405" s="155"/>
      <c r="H405" s="155"/>
      <c r="I405" s="155"/>
      <c r="J405" s="155"/>
      <c r="K405" s="155"/>
      <c r="L405" s="155"/>
      <c r="M405" s="155"/>
    </row>
    <row r="406" spans="3:13" ht="14.1" customHeight="1">
      <c r="C406" s="159"/>
      <c r="D406" s="155"/>
      <c r="E406" s="155"/>
      <c r="F406" s="155"/>
      <c r="G406" s="155"/>
      <c r="H406" s="155"/>
      <c r="I406" s="155"/>
      <c r="J406" s="155"/>
      <c r="K406" s="155"/>
      <c r="L406" s="155"/>
      <c r="M406" s="155"/>
    </row>
    <row r="407" spans="3:13" ht="14.1" customHeight="1">
      <c r="C407" s="159"/>
      <c r="D407" s="155"/>
      <c r="E407" s="155"/>
      <c r="F407" s="155"/>
      <c r="G407" s="155"/>
      <c r="H407" s="155"/>
      <c r="I407" s="155"/>
      <c r="J407" s="155"/>
      <c r="K407" s="155"/>
      <c r="L407" s="155"/>
      <c r="M407" s="155"/>
    </row>
    <row r="408" spans="3:13" ht="14.1" customHeight="1">
      <c r="C408" s="159"/>
      <c r="D408" s="155"/>
      <c r="E408" s="155"/>
      <c r="F408" s="155"/>
      <c r="G408" s="155"/>
      <c r="H408" s="155"/>
      <c r="I408" s="155"/>
      <c r="J408" s="155"/>
      <c r="K408" s="155"/>
      <c r="L408" s="155"/>
      <c r="M408" s="155"/>
    </row>
    <row r="409" spans="3:13" ht="14.1" customHeight="1">
      <c r="C409" s="159"/>
      <c r="D409" s="155"/>
      <c r="E409" s="155"/>
      <c r="F409" s="155"/>
      <c r="G409" s="155"/>
      <c r="H409" s="155"/>
      <c r="I409" s="155"/>
      <c r="J409" s="155"/>
      <c r="K409" s="155"/>
      <c r="L409" s="155"/>
      <c r="M409" s="155"/>
    </row>
    <row r="410" spans="3:13" ht="14.1" customHeight="1">
      <c r="C410" s="159"/>
      <c r="D410" s="155"/>
      <c r="E410" s="155"/>
      <c r="F410" s="155"/>
      <c r="G410" s="155"/>
      <c r="H410" s="155"/>
      <c r="I410" s="155"/>
      <c r="J410" s="155"/>
      <c r="K410" s="155"/>
      <c r="L410" s="155"/>
      <c r="M410" s="155"/>
    </row>
    <row r="411" spans="3:13" ht="14.1" customHeight="1">
      <c r="C411" s="159"/>
      <c r="D411" s="155"/>
      <c r="E411" s="155"/>
      <c r="F411" s="155"/>
      <c r="G411" s="155"/>
      <c r="H411" s="155"/>
      <c r="I411" s="155"/>
      <c r="J411" s="155"/>
      <c r="K411" s="155"/>
      <c r="L411" s="155"/>
      <c r="M411" s="155"/>
    </row>
    <row r="412" spans="3:13" ht="14.1" customHeight="1">
      <c r="C412" s="159"/>
      <c r="D412" s="155"/>
      <c r="E412" s="155"/>
      <c r="F412" s="155"/>
      <c r="G412" s="155"/>
      <c r="H412" s="155"/>
      <c r="I412" s="155"/>
      <c r="J412" s="155"/>
      <c r="K412" s="155"/>
      <c r="L412" s="155"/>
      <c r="M412" s="155"/>
    </row>
    <row r="413" spans="3:13" ht="14.1" customHeight="1">
      <c r="C413" s="159"/>
      <c r="D413" s="155"/>
      <c r="E413" s="155"/>
      <c r="F413" s="155"/>
      <c r="G413" s="155"/>
      <c r="H413" s="155"/>
      <c r="I413" s="155"/>
      <c r="J413" s="155"/>
      <c r="K413" s="155"/>
      <c r="L413" s="155"/>
      <c r="M413" s="155"/>
    </row>
    <row r="414" spans="3:13" ht="14.1" customHeight="1">
      <c r="C414" s="159"/>
      <c r="D414" s="155"/>
      <c r="E414" s="155"/>
      <c r="F414" s="155"/>
      <c r="G414" s="155"/>
      <c r="H414" s="155"/>
      <c r="I414" s="155"/>
      <c r="J414" s="155"/>
      <c r="K414" s="155"/>
      <c r="L414" s="155"/>
      <c r="M414" s="155"/>
    </row>
    <row r="415" spans="3:13" ht="14.1" customHeight="1">
      <c r="C415" s="159"/>
      <c r="D415" s="155"/>
      <c r="E415" s="155"/>
      <c r="F415" s="155"/>
      <c r="G415" s="155"/>
      <c r="H415" s="155"/>
      <c r="I415" s="155"/>
      <c r="J415" s="155"/>
      <c r="K415" s="155"/>
      <c r="L415" s="155"/>
      <c r="M415" s="155"/>
    </row>
    <row r="416" spans="3:13" ht="14.1" customHeight="1">
      <c r="C416" s="159"/>
      <c r="D416" s="155"/>
      <c r="E416" s="155"/>
      <c r="F416" s="155"/>
      <c r="G416" s="155"/>
      <c r="H416" s="155"/>
      <c r="I416" s="155"/>
      <c r="J416" s="155"/>
      <c r="K416" s="155"/>
      <c r="L416" s="155"/>
      <c r="M416" s="155"/>
    </row>
    <row r="417" spans="3:13" ht="14.1" customHeight="1">
      <c r="C417" s="159"/>
      <c r="D417" s="155"/>
      <c r="E417" s="155"/>
      <c r="F417" s="155"/>
      <c r="G417" s="155"/>
      <c r="H417" s="155"/>
      <c r="I417" s="155"/>
      <c r="J417" s="155"/>
      <c r="K417" s="155"/>
      <c r="L417" s="155"/>
      <c r="M417" s="155"/>
    </row>
    <row r="418" spans="3:13" ht="14.1" customHeight="1">
      <c r="C418" s="159"/>
      <c r="D418" s="155"/>
      <c r="E418" s="155"/>
      <c r="F418" s="155"/>
      <c r="G418" s="155"/>
      <c r="H418" s="155"/>
      <c r="I418" s="155"/>
      <c r="J418" s="155"/>
      <c r="K418" s="155"/>
      <c r="L418" s="155"/>
      <c r="M418" s="155"/>
    </row>
    <row r="419" spans="3:13" ht="14.1" customHeight="1">
      <c r="C419" s="159"/>
      <c r="D419" s="155"/>
      <c r="E419" s="155"/>
      <c r="F419" s="155"/>
      <c r="G419" s="155"/>
      <c r="H419" s="155"/>
      <c r="I419" s="155"/>
      <c r="J419" s="155"/>
      <c r="K419" s="155"/>
      <c r="L419" s="155"/>
      <c r="M419" s="155"/>
    </row>
    <row r="420" spans="3:13" ht="14.1" customHeight="1">
      <c r="C420" s="159"/>
      <c r="D420" s="155"/>
      <c r="E420" s="155"/>
      <c r="F420" s="155"/>
      <c r="G420" s="155"/>
      <c r="H420" s="155"/>
      <c r="I420" s="155"/>
      <c r="J420" s="155"/>
      <c r="K420" s="155"/>
      <c r="L420" s="155"/>
      <c r="M420" s="155"/>
    </row>
    <row r="421" spans="3:13" ht="14.1" customHeight="1">
      <c r="C421" s="159"/>
      <c r="D421" s="155"/>
      <c r="E421" s="155"/>
      <c r="F421" s="155"/>
      <c r="G421" s="155"/>
      <c r="H421" s="155"/>
      <c r="I421" s="155"/>
      <c r="J421" s="155"/>
      <c r="K421" s="155"/>
      <c r="L421" s="155"/>
      <c r="M421" s="155"/>
    </row>
    <row r="422" spans="3:13" ht="14.1" customHeight="1">
      <c r="C422" s="159"/>
      <c r="D422" s="155"/>
      <c r="E422" s="155"/>
      <c r="F422" s="155"/>
      <c r="G422" s="155"/>
      <c r="H422" s="155"/>
      <c r="I422" s="155"/>
      <c r="J422" s="155"/>
      <c r="K422" s="155"/>
      <c r="L422" s="155"/>
      <c r="M422" s="155"/>
    </row>
    <row r="423" spans="3:13" ht="14.1" customHeight="1">
      <c r="C423" s="159"/>
      <c r="D423" s="155"/>
      <c r="E423" s="155"/>
      <c r="F423" s="155"/>
      <c r="G423" s="155"/>
      <c r="H423" s="155"/>
      <c r="I423" s="155"/>
      <c r="J423" s="155"/>
      <c r="K423" s="155"/>
      <c r="L423" s="155"/>
      <c r="M423" s="155"/>
    </row>
    <row r="424" spans="3:13" ht="14.1" customHeight="1">
      <c r="C424" s="159"/>
      <c r="D424" s="155"/>
      <c r="E424" s="155"/>
      <c r="F424" s="155"/>
      <c r="G424" s="155"/>
      <c r="H424" s="155"/>
      <c r="I424" s="155"/>
      <c r="J424" s="155"/>
      <c r="K424" s="155"/>
      <c r="L424" s="155"/>
      <c r="M424" s="155"/>
    </row>
    <row r="425" spans="3:13" ht="14.1" customHeight="1">
      <c r="C425" s="159"/>
      <c r="D425" s="155"/>
      <c r="E425" s="155"/>
      <c r="F425" s="155"/>
      <c r="G425" s="155"/>
      <c r="H425" s="155"/>
      <c r="I425" s="155"/>
      <c r="J425" s="155"/>
      <c r="K425" s="155"/>
      <c r="L425" s="155"/>
      <c r="M425" s="155"/>
    </row>
    <row r="426" spans="3:13" ht="14.1" customHeight="1">
      <c r="C426" s="159"/>
      <c r="D426" s="155"/>
      <c r="E426" s="155"/>
      <c r="F426" s="155"/>
      <c r="G426" s="155"/>
      <c r="H426" s="155"/>
      <c r="I426" s="155"/>
      <c r="J426" s="155"/>
      <c r="K426" s="155"/>
      <c r="L426" s="155"/>
      <c r="M426" s="155"/>
    </row>
    <row r="427" spans="3:13" ht="14.1" customHeight="1">
      <c r="C427" s="159"/>
      <c r="D427" s="155"/>
      <c r="E427" s="155"/>
      <c r="F427" s="155"/>
      <c r="G427" s="155"/>
      <c r="H427" s="155"/>
      <c r="I427" s="155"/>
      <c r="J427" s="155"/>
      <c r="K427" s="155"/>
      <c r="L427" s="155"/>
      <c r="M427" s="155"/>
    </row>
    <row r="428" spans="3:13" ht="14.1" customHeight="1">
      <c r="C428" s="159"/>
      <c r="D428" s="155"/>
      <c r="E428" s="155"/>
      <c r="F428" s="155"/>
      <c r="G428" s="155"/>
      <c r="H428" s="155"/>
      <c r="I428" s="155"/>
      <c r="J428" s="155"/>
      <c r="K428" s="155"/>
      <c r="L428" s="155"/>
      <c r="M428" s="155"/>
    </row>
    <row r="429" spans="3:13" ht="14.1" customHeight="1">
      <c r="C429" s="159"/>
      <c r="D429" s="155"/>
      <c r="E429" s="155"/>
      <c r="F429" s="155"/>
      <c r="G429" s="155"/>
      <c r="H429" s="155"/>
      <c r="I429" s="155"/>
      <c r="J429" s="155"/>
      <c r="K429" s="155"/>
      <c r="L429" s="155"/>
      <c r="M429" s="155"/>
    </row>
    <row r="430" spans="3:13" ht="14.1" customHeight="1">
      <c r="C430" s="159"/>
      <c r="D430" s="155"/>
      <c r="E430" s="155"/>
      <c r="F430" s="155"/>
      <c r="G430" s="155"/>
      <c r="H430" s="155"/>
      <c r="I430" s="155"/>
      <c r="J430" s="155"/>
      <c r="K430" s="155"/>
      <c r="L430" s="155"/>
      <c r="M430" s="155"/>
    </row>
    <row r="431" spans="3:13" ht="14.1" customHeight="1">
      <c r="C431" s="159"/>
      <c r="D431" s="155"/>
      <c r="E431" s="155"/>
      <c r="F431" s="155"/>
      <c r="G431" s="155"/>
      <c r="H431" s="155"/>
      <c r="I431" s="155"/>
      <c r="J431" s="155"/>
      <c r="K431" s="155"/>
      <c r="L431" s="155"/>
      <c r="M431" s="155"/>
    </row>
    <row r="432" spans="3:13" ht="14.1" customHeight="1">
      <c r="C432" s="159"/>
      <c r="D432" s="155"/>
      <c r="E432" s="155"/>
      <c r="F432" s="155"/>
      <c r="G432" s="155"/>
      <c r="H432" s="155"/>
      <c r="I432" s="155"/>
      <c r="J432" s="155"/>
      <c r="K432" s="155"/>
      <c r="L432" s="155"/>
      <c r="M432" s="155"/>
    </row>
    <row r="433" spans="3:13" ht="14.1" customHeight="1">
      <c r="C433" s="159"/>
      <c r="D433" s="155"/>
      <c r="E433" s="155"/>
      <c r="F433" s="155"/>
      <c r="G433" s="155"/>
      <c r="H433" s="155"/>
      <c r="I433" s="155"/>
      <c r="J433" s="155"/>
      <c r="K433" s="155"/>
      <c r="L433" s="155"/>
      <c r="M433" s="155"/>
    </row>
    <row r="434" spans="3:13" ht="14.1" customHeight="1">
      <c r="C434" s="159"/>
      <c r="D434" s="155"/>
      <c r="E434" s="155"/>
      <c r="F434" s="155"/>
      <c r="G434" s="155"/>
      <c r="H434" s="155"/>
      <c r="I434" s="155"/>
      <c r="J434" s="155"/>
      <c r="K434" s="155"/>
      <c r="L434" s="155"/>
      <c r="M434" s="155"/>
    </row>
    <row r="435" spans="3:13" ht="14.1" customHeight="1">
      <c r="C435" s="159"/>
      <c r="D435" s="155"/>
      <c r="E435" s="155"/>
      <c r="F435" s="155"/>
      <c r="G435" s="155"/>
      <c r="H435" s="155"/>
      <c r="I435" s="155"/>
      <c r="J435" s="155"/>
      <c r="K435" s="155"/>
      <c r="L435" s="155"/>
      <c r="M435" s="155"/>
    </row>
    <row r="436" spans="3:13" ht="14.1" customHeight="1">
      <c r="C436" s="159"/>
      <c r="D436" s="155"/>
      <c r="E436" s="155"/>
      <c r="F436" s="155"/>
      <c r="G436" s="155"/>
      <c r="H436" s="155"/>
      <c r="I436" s="155"/>
      <c r="J436" s="155"/>
      <c r="K436" s="155"/>
      <c r="L436" s="155"/>
      <c r="M436" s="155"/>
    </row>
    <row r="437" spans="3:13" ht="14.1" customHeight="1">
      <c r="C437" s="159"/>
      <c r="D437" s="155"/>
      <c r="E437" s="155"/>
      <c r="F437" s="155"/>
      <c r="G437" s="155"/>
      <c r="H437" s="155"/>
      <c r="I437" s="155"/>
      <c r="J437" s="155"/>
      <c r="K437" s="155"/>
      <c r="L437" s="155"/>
      <c r="M437" s="155"/>
    </row>
    <row r="438" spans="3:13" ht="14.1" customHeight="1">
      <c r="C438" s="159"/>
      <c r="D438" s="155"/>
      <c r="E438" s="155"/>
      <c r="F438" s="155"/>
      <c r="G438" s="155"/>
      <c r="H438" s="155"/>
      <c r="I438" s="155"/>
      <c r="J438" s="155"/>
      <c r="K438" s="155"/>
      <c r="L438" s="155"/>
      <c r="M438" s="155"/>
    </row>
    <row r="439" spans="3:13" ht="14.1" customHeight="1">
      <c r="C439" s="159"/>
      <c r="D439" s="155"/>
      <c r="E439" s="155"/>
      <c r="F439" s="155"/>
      <c r="G439" s="155"/>
      <c r="H439" s="155"/>
      <c r="I439" s="155"/>
      <c r="J439" s="155"/>
      <c r="K439" s="155"/>
      <c r="L439" s="155"/>
      <c r="M439" s="155"/>
    </row>
    <row r="440" spans="3:13" ht="14.1" customHeight="1">
      <c r="C440" s="159"/>
      <c r="D440" s="155"/>
      <c r="E440" s="155"/>
      <c r="F440" s="155"/>
      <c r="G440" s="155"/>
      <c r="H440" s="155"/>
      <c r="I440" s="155"/>
      <c r="J440" s="155"/>
      <c r="K440" s="155"/>
      <c r="L440" s="155"/>
      <c r="M440" s="155"/>
    </row>
    <row r="441" spans="3:13" ht="14.1" customHeight="1">
      <c r="C441" s="159"/>
      <c r="D441" s="155"/>
      <c r="E441" s="155"/>
      <c r="F441" s="155"/>
      <c r="G441" s="155"/>
      <c r="H441" s="155"/>
      <c r="I441" s="155"/>
      <c r="J441" s="155"/>
      <c r="K441" s="155"/>
      <c r="L441" s="155"/>
      <c r="M441" s="155"/>
    </row>
    <row r="442" spans="3:13" ht="14.1" customHeight="1">
      <c r="C442" s="159"/>
      <c r="D442" s="155"/>
      <c r="E442" s="155"/>
      <c r="F442" s="155"/>
      <c r="G442" s="155"/>
      <c r="H442" s="155"/>
      <c r="I442" s="155"/>
      <c r="J442" s="155"/>
      <c r="K442" s="155"/>
      <c r="L442" s="155"/>
      <c r="M442" s="155"/>
    </row>
    <row r="443" spans="3:13" ht="14.1" customHeight="1">
      <c r="C443" s="159"/>
      <c r="D443" s="155"/>
      <c r="E443" s="155"/>
      <c r="F443" s="155"/>
      <c r="G443" s="155"/>
      <c r="H443" s="155"/>
      <c r="I443" s="155"/>
      <c r="J443" s="155"/>
      <c r="K443" s="155"/>
      <c r="L443" s="155"/>
      <c r="M443" s="155"/>
    </row>
    <row r="444" spans="3:13" ht="14.1" customHeight="1">
      <c r="C444" s="159"/>
      <c r="D444" s="155"/>
      <c r="E444" s="155"/>
      <c r="F444" s="155"/>
      <c r="G444" s="155"/>
      <c r="H444" s="155"/>
      <c r="I444" s="155"/>
      <c r="J444" s="155"/>
      <c r="K444" s="155"/>
      <c r="L444" s="155"/>
      <c r="M444" s="155"/>
    </row>
    <row r="445" spans="3:13" ht="14.1" customHeight="1">
      <c r="C445" s="159"/>
      <c r="D445" s="155"/>
      <c r="E445" s="155"/>
      <c r="F445" s="155"/>
      <c r="G445" s="155"/>
      <c r="H445" s="155"/>
      <c r="I445" s="155"/>
      <c r="J445" s="155"/>
      <c r="K445" s="155"/>
      <c r="L445" s="155"/>
      <c r="M445" s="155"/>
    </row>
    <row r="446" spans="3:13" ht="14.1" customHeight="1">
      <c r="C446" s="159"/>
      <c r="D446" s="155"/>
      <c r="E446" s="155"/>
      <c r="F446" s="155"/>
      <c r="G446" s="155"/>
      <c r="H446" s="155"/>
      <c r="I446" s="155"/>
      <c r="J446" s="155"/>
      <c r="K446" s="155"/>
      <c r="L446" s="155"/>
      <c r="M446" s="155"/>
    </row>
    <row r="447" spans="3:13" ht="14.1" customHeight="1">
      <c r="C447" s="159"/>
      <c r="D447" s="155"/>
      <c r="E447" s="155"/>
      <c r="F447" s="155"/>
      <c r="G447" s="155"/>
      <c r="H447" s="155"/>
      <c r="I447" s="155"/>
      <c r="J447" s="155"/>
      <c r="K447" s="155"/>
      <c r="L447" s="155"/>
      <c r="M447" s="155"/>
    </row>
    <row r="448" spans="3:13" ht="14.1" customHeight="1">
      <c r="C448" s="159"/>
      <c r="D448" s="155"/>
      <c r="E448" s="155"/>
      <c r="F448" s="155"/>
      <c r="G448" s="155"/>
      <c r="H448" s="155"/>
      <c r="I448" s="155"/>
      <c r="J448" s="155"/>
      <c r="K448" s="155"/>
      <c r="L448" s="155"/>
      <c r="M448" s="155"/>
    </row>
    <row r="449" spans="3:13" ht="14.1" customHeight="1">
      <c r="C449" s="159"/>
      <c r="D449" s="155"/>
      <c r="E449" s="155"/>
      <c r="F449" s="155"/>
      <c r="G449" s="155"/>
      <c r="H449" s="155"/>
      <c r="I449" s="155"/>
      <c r="J449" s="155"/>
      <c r="K449" s="155"/>
      <c r="L449" s="155"/>
      <c r="M449" s="155"/>
    </row>
    <row r="450" spans="3:13" ht="14.1" customHeight="1">
      <c r="C450" s="159"/>
      <c r="D450" s="155"/>
      <c r="E450" s="155"/>
      <c r="F450" s="155"/>
      <c r="G450" s="155"/>
      <c r="H450" s="155"/>
      <c r="I450" s="155"/>
      <c r="J450" s="155"/>
      <c r="K450" s="155"/>
      <c r="L450" s="155"/>
      <c r="M450" s="155"/>
    </row>
    <row r="451" spans="3:13" ht="14.1" customHeight="1">
      <c r="C451" s="159"/>
      <c r="D451" s="155"/>
      <c r="E451" s="155"/>
      <c r="F451" s="155"/>
      <c r="G451" s="155"/>
      <c r="H451" s="155"/>
      <c r="I451" s="155"/>
      <c r="J451" s="155"/>
      <c r="K451" s="155"/>
      <c r="L451" s="155"/>
      <c r="M451" s="155"/>
    </row>
    <row r="452" spans="3:13" ht="14.1" customHeight="1">
      <c r="C452" s="159"/>
      <c r="D452" s="155"/>
      <c r="E452" s="155"/>
      <c r="F452" s="155"/>
      <c r="G452" s="155"/>
      <c r="H452" s="155"/>
      <c r="I452" s="155"/>
      <c r="J452" s="155"/>
      <c r="K452" s="155"/>
      <c r="L452" s="155"/>
      <c r="M452" s="155"/>
    </row>
    <row r="453" spans="3:13" ht="14.1" customHeight="1">
      <c r="C453" s="159"/>
      <c r="D453" s="155"/>
      <c r="E453" s="155"/>
      <c r="F453" s="155"/>
      <c r="G453" s="155"/>
      <c r="H453" s="155"/>
      <c r="I453" s="155"/>
      <c r="J453" s="155"/>
      <c r="K453" s="155"/>
      <c r="L453" s="155"/>
      <c r="M453" s="155"/>
    </row>
    <row r="454" spans="3:13" ht="14.1" customHeight="1">
      <c r="C454" s="159"/>
      <c r="D454" s="155"/>
      <c r="E454" s="155"/>
      <c r="F454" s="155"/>
      <c r="G454" s="155"/>
      <c r="H454" s="155"/>
      <c r="I454" s="155"/>
      <c r="J454" s="155"/>
      <c r="K454" s="155"/>
      <c r="L454" s="155"/>
      <c r="M454" s="155"/>
    </row>
    <row r="455" spans="3:13" ht="14.1" customHeight="1">
      <c r="C455" s="159"/>
      <c r="D455" s="155"/>
      <c r="E455" s="155"/>
      <c r="F455" s="155"/>
      <c r="G455" s="155"/>
      <c r="H455" s="155"/>
      <c r="I455" s="155"/>
      <c r="J455" s="155"/>
      <c r="K455" s="155"/>
      <c r="L455" s="155"/>
      <c r="M455" s="155"/>
    </row>
    <row r="456" spans="3:13" ht="14.1" customHeight="1">
      <c r="C456" s="159"/>
      <c r="D456" s="155"/>
      <c r="E456" s="155"/>
      <c r="F456" s="155"/>
      <c r="G456" s="155"/>
      <c r="H456" s="155"/>
      <c r="I456" s="155"/>
      <c r="J456" s="155"/>
      <c r="K456" s="155"/>
      <c r="L456" s="155"/>
      <c r="M456" s="155"/>
    </row>
    <row r="457" spans="3:13" ht="14.1" customHeight="1">
      <c r="C457" s="159"/>
      <c r="D457" s="155"/>
      <c r="E457" s="155"/>
      <c r="F457" s="155"/>
      <c r="G457" s="155"/>
      <c r="H457" s="155"/>
      <c r="I457" s="155"/>
      <c r="J457" s="155"/>
      <c r="K457" s="155"/>
      <c r="L457" s="155"/>
      <c r="M457" s="155"/>
    </row>
    <row r="458" spans="3:13" ht="14.1" customHeight="1">
      <c r="C458" s="159"/>
      <c r="D458" s="155"/>
      <c r="E458" s="155"/>
      <c r="F458" s="155"/>
      <c r="G458" s="155"/>
      <c r="H458" s="155"/>
      <c r="I458" s="155"/>
      <c r="J458" s="155"/>
      <c r="K458" s="155"/>
      <c r="L458" s="155"/>
      <c r="M458" s="155"/>
    </row>
    <row r="459" spans="3:13" ht="14.1" customHeight="1">
      <c r="C459" s="159"/>
      <c r="D459" s="155"/>
      <c r="E459" s="155"/>
      <c r="F459" s="155"/>
      <c r="G459" s="155"/>
      <c r="H459" s="155"/>
      <c r="I459" s="155"/>
      <c r="J459" s="155"/>
      <c r="K459" s="155"/>
      <c r="L459" s="155"/>
      <c r="M459" s="155"/>
    </row>
    <row r="460" spans="3:13" ht="14.1" customHeight="1">
      <c r="C460" s="159"/>
      <c r="D460" s="155"/>
      <c r="E460" s="155"/>
      <c r="F460" s="155"/>
      <c r="G460" s="155"/>
      <c r="H460" s="155"/>
      <c r="I460" s="155"/>
      <c r="J460" s="155"/>
      <c r="K460" s="155"/>
      <c r="L460" s="155"/>
      <c r="M460" s="155"/>
    </row>
    <row r="461" spans="3:13" ht="14.1" customHeight="1">
      <c r="C461" s="159"/>
      <c r="D461" s="155"/>
      <c r="E461" s="155"/>
      <c r="F461" s="155"/>
      <c r="G461" s="155"/>
      <c r="H461" s="155"/>
      <c r="I461" s="155"/>
      <c r="J461" s="155"/>
      <c r="K461" s="155"/>
      <c r="L461" s="155"/>
      <c r="M461" s="155"/>
    </row>
    <row r="462" spans="3:13" ht="14.1" customHeight="1">
      <c r="C462" s="159"/>
      <c r="D462" s="155"/>
      <c r="E462" s="155"/>
      <c r="F462" s="155"/>
      <c r="G462" s="155"/>
      <c r="H462" s="155"/>
      <c r="I462" s="155"/>
      <c r="J462" s="155"/>
      <c r="K462" s="155"/>
      <c r="L462" s="155"/>
      <c r="M462" s="155"/>
    </row>
    <row r="463" spans="3:13" ht="14.1" customHeight="1">
      <c r="C463" s="159"/>
      <c r="D463" s="155"/>
      <c r="E463" s="155"/>
      <c r="F463" s="155"/>
      <c r="G463" s="155"/>
      <c r="H463" s="155"/>
      <c r="I463" s="155"/>
      <c r="J463" s="155"/>
      <c r="K463" s="155"/>
      <c r="L463" s="155"/>
      <c r="M463" s="155"/>
    </row>
    <row r="464" spans="3:13" ht="14.1" customHeight="1">
      <c r="C464" s="159"/>
      <c r="D464" s="155"/>
      <c r="E464" s="155"/>
      <c r="F464" s="155"/>
      <c r="G464" s="155"/>
      <c r="H464" s="155"/>
      <c r="I464" s="155"/>
      <c r="J464" s="155"/>
      <c r="K464" s="155"/>
      <c r="L464" s="155"/>
      <c r="M464" s="155"/>
    </row>
    <row r="465" spans="3:13" ht="14.1" customHeight="1">
      <c r="C465" s="159"/>
      <c r="D465" s="155"/>
      <c r="E465" s="155"/>
      <c r="F465" s="155"/>
      <c r="G465" s="155"/>
      <c r="H465" s="155"/>
      <c r="I465" s="155"/>
      <c r="J465" s="155"/>
      <c r="K465" s="155"/>
      <c r="L465" s="155"/>
      <c r="M465" s="155"/>
    </row>
    <row r="466" spans="3:13" ht="14.1" customHeight="1">
      <c r="C466" s="159"/>
      <c r="D466" s="155"/>
      <c r="E466" s="155"/>
      <c r="F466" s="155"/>
      <c r="G466" s="155"/>
      <c r="H466" s="155"/>
      <c r="I466" s="155"/>
      <c r="J466" s="155"/>
      <c r="K466" s="155"/>
      <c r="L466" s="155"/>
      <c r="M466" s="155"/>
    </row>
    <row r="467" spans="3:13" ht="14.1" customHeight="1">
      <c r="C467" s="159"/>
      <c r="D467" s="155"/>
      <c r="E467" s="155"/>
      <c r="F467" s="155"/>
      <c r="G467" s="155"/>
      <c r="H467" s="155"/>
      <c r="I467" s="155"/>
      <c r="J467" s="155"/>
      <c r="K467" s="155"/>
      <c r="L467" s="155"/>
      <c r="M467" s="155"/>
    </row>
    <row r="468" spans="3:13" ht="14.1" customHeight="1">
      <c r="C468" s="159"/>
      <c r="D468" s="155"/>
      <c r="E468" s="155"/>
      <c r="F468" s="155"/>
      <c r="G468" s="155"/>
      <c r="H468" s="155"/>
      <c r="I468" s="155"/>
      <c r="J468" s="155"/>
      <c r="K468" s="155"/>
      <c r="L468" s="155"/>
      <c r="M468" s="155"/>
    </row>
    <row r="469" spans="3:13" ht="14.1" customHeight="1">
      <c r="C469" s="159"/>
      <c r="D469" s="155"/>
      <c r="E469" s="155"/>
      <c r="F469" s="155"/>
      <c r="G469" s="155"/>
      <c r="H469" s="155"/>
      <c r="I469" s="155"/>
      <c r="J469" s="155"/>
      <c r="K469" s="155"/>
      <c r="L469" s="155"/>
      <c r="M469" s="155"/>
    </row>
    <row r="470" spans="3:13" ht="14.1" customHeight="1">
      <c r="C470" s="159"/>
      <c r="D470" s="155"/>
      <c r="E470" s="155"/>
      <c r="F470" s="155"/>
      <c r="G470" s="155"/>
      <c r="H470" s="155"/>
      <c r="I470" s="155"/>
      <c r="J470" s="155"/>
      <c r="K470" s="155"/>
      <c r="L470" s="155"/>
      <c r="M470" s="155"/>
    </row>
    <row r="471" spans="3:13" ht="14.1" customHeight="1">
      <c r="C471" s="159"/>
      <c r="D471" s="155"/>
      <c r="E471" s="155"/>
      <c r="F471" s="155"/>
      <c r="G471" s="155"/>
      <c r="H471" s="155"/>
      <c r="I471" s="155"/>
      <c r="J471" s="155"/>
      <c r="K471" s="155"/>
      <c r="L471" s="155"/>
      <c r="M471" s="155"/>
    </row>
    <row r="472" spans="3:13" ht="14.1" customHeight="1">
      <c r="C472" s="159"/>
      <c r="D472" s="155"/>
      <c r="E472" s="155"/>
      <c r="F472" s="155"/>
      <c r="G472" s="155"/>
      <c r="H472" s="155"/>
      <c r="I472" s="155"/>
      <c r="J472" s="155"/>
      <c r="K472" s="155"/>
      <c r="L472" s="155"/>
      <c r="M472" s="155"/>
    </row>
    <row r="473" spans="3:13" ht="14.1" customHeight="1">
      <c r="C473" s="159"/>
      <c r="D473" s="155"/>
      <c r="E473" s="155"/>
      <c r="F473" s="155"/>
      <c r="G473" s="155"/>
      <c r="H473" s="155"/>
      <c r="I473" s="155"/>
      <c r="J473" s="155"/>
      <c r="K473" s="155"/>
      <c r="L473" s="155"/>
      <c r="M473" s="155"/>
    </row>
    <row r="474" spans="3:13" ht="14.1" customHeight="1">
      <c r="C474" s="159"/>
      <c r="D474" s="155"/>
      <c r="E474" s="155"/>
      <c r="F474" s="155"/>
      <c r="G474" s="155"/>
      <c r="H474" s="155"/>
      <c r="I474" s="155"/>
      <c r="J474" s="155"/>
      <c r="K474" s="155"/>
      <c r="L474" s="155"/>
      <c r="M474" s="155"/>
    </row>
    <row r="475" spans="3:13" ht="14.1" customHeight="1">
      <c r="C475" s="159"/>
      <c r="D475" s="155"/>
      <c r="E475" s="155"/>
      <c r="F475" s="155"/>
      <c r="G475" s="155"/>
      <c r="H475" s="155"/>
      <c r="I475" s="155"/>
      <c r="J475" s="155"/>
      <c r="K475" s="155"/>
      <c r="L475" s="155"/>
      <c r="M475" s="155"/>
    </row>
    <row r="476" spans="3:13" ht="14.1" customHeight="1">
      <c r="C476" s="159"/>
      <c r="D476" s="155"/>
      <c r="E476" s="155"/>
      <c r="F476" s="155"/>
      <c r="G476" s="155"/>
      <c r="H476" s="155"/>
      <c r="I476" s="155"/>
      <c r="J476" s="155"/>
      <c r="K476" s="155"/>
      <c r="L476" s="155"/>
      <c r="M476" s="155"/>
    </row>
    <row r="477" spans="3:13" ht="14.1" customHeight="1">
      <c r="C477" s="159"/>
      <c r="D477" s="155"/>
      <c r="E477" s="155"/>
      <c r="F477" s="155"/>
      <c r="G477" s="155"/>
      <c r="H477" s="155"/>
      <c r="I477" s="155"/>
      <c r="J477" s="155"/>
      <c r="K477" s="155"/>
      <c r="L477" s="155"/>
      <c r="M477" s="155"/>
    </row>
    <row r="478" spans="3:13" ht="14.1" customHeight="1">
      <c r="C478" s="159"/>
      <c r="D478" s="155"/>
      <c r="E478" s="155"/>
      <c r="F478" s="155"/>
      <c r="G478" s="155"/>
      <c r="H478" s="155"/>
      <c r="I478" s="155"/>
      <c r="J478" s="155"/>
      <c r="K478" s="155"/>
      <c r="L478" s="155"/>
      <c r="M478" s="155"/>
    </row>
    <row r="479" spans="3:13" ht="14.1" customHeight="1">
      <c r="C479" s="159"/>
      <c r="D479" s="155"/>
      <c r="E479" s="155"/>
      <c r="F479" s="155"/>
      <c r="G479" s="155"/>
      <c r="H479" s="155"/>
      <c r="I479" s="155"/>
      <c r="J479" s="155"/>
      <c r="K479" s="155"/>
      <c r="L479" s="155"/>
      <c r="M479" s="155"/>
    </row>
    <row r="480" spans="3:13" ht="14.1" customHeight="1">
      <c r="C480" s="159"/>
      <c r="D480" s="155"/>
      <c r="E480" s="155"/>
      <c r="F480" s="155"/>
      <c r="G480" s="155"/>
      <c r="H480" s="155"/>
      <c r="I480" s="155"/>
      <c r="J480" s="155"/>
      <c r="K480" s="155"/>
      <c r="L480" s="155"/>
      <c r="M480" s="155"/>
    </row>
    <row r="481" spans="3:13" ht="14.1" customHeight="1">
      <c r="C481" s="159"/>
      <c r="D481" s="155"/>
      <c r="E481" s="155"/>
      <c r="F481" s="155"/>
      <c r="G481" s="155"/>
      <c r="H481" s="155"/>
      <c r="I481" s="155"/>
      <c r="J481" s="155"/>
      <c r="K481" s="155"/>
      <c r="L481" s="155"/>
      <c r="M481" s="155"/>
    </row>
    <row r="482" spans="3:13" ht="14.1" customHeight="1">
      <c r="C482" s="159"/>
      <c r="D482" s="155"/>
      <c r="E482" s="155"/>
      <c r="F482" s="155"/>
      <c r="G482" s="155"/>
      <c r="H482" s="155"/>
      <c r="I482" s="155"/>
      <c r="J482" s="155"/>
      <c r="K482" s="155"/>
      <c r="L482" s="155"/>
      <c r="M482" s="155"/>
    </row>
    <row r="483" spans="3:13" ht="14.1" customHeight="1">
      <c r="C483" s="159"/>
      <c r="D483" s="155"/>
      <c r="E483" s="155"/>
      <c r="F483" s="155"/>
      <c r="G483" s="155"/>
      <c r="H483" s="155"/>
      <c r="I483" s="155"/>
      <c r="J483" s="155"/>
      <c r="K483" s="155"/>
      <c r="L483" s="155"/>
      <c r="M483" s="155"/>
    </row>
    <row r="484" spans="3:13" ht="14.1" customHeight="1">
      <c r="C484" s="159"/>
      <c r="D484" s="155"/>
      <c r="E484" s="155"/>
      <c r="F484" s="155"/>
      <c r="G484" s="155"/>
      <c r="H484" s="155"/>
      <c r="I484" s="155"/>
      <c r="J484" s="155"/>
      <c r="K484" s="155"/>
      <c r="L484" s="155"/>
      <c r="M484" s="155"/>
    </row>
    <row r="485" spans="3:13" ht="14.1" customHeight="1">
      <c r="C485" s="159"/>
      <c r="D485" s="155"/>
      <c r="E485" s="155"/>
      <c r="F485" s="155"/>
      <c r="G485" s="155"/>
      <c r="H485" s="155"/>
      <c r="I485" s="155"/>
      <c r="J485" s="155"/>
      <c r="K485" s="155"/>
      <c r="L485" s="155"/>
      <c r="M485" s="155"/>
    </row>
    <row r="486" spans="3:13" ht="14.1" customHeight="1">
      <c r="C486" s="159"/>
      <c r="D486" s="155"/>
      <c r="E486" s="155"/>
      <c r="F486" s="155"/>
      <c r="G486" s="155"/>
      <c r="H486" s="155"/>
      <c r="I486" s="155"/>
      <c r="J486" s="155"/>
      <c r="K486" s="155"/>
      <c r="L486" s="155"/>
      <c r="M486" s="155"/>
    </row>
    <row r="487" spans="3:13" ht="14.1" customHeight="1">
      <c r="C487" s="159"/>
      <c r="D487" s="155"/>
      <c r="E487" s="155"/>
      <c r="F487" s="155"/>
      <c r="G487" s="155"/>
      <c r="H487" s="155"/>
      <c r="I487" s="155"/>
      <c r="J487" s="155"/>
      <c r="K487" s="155"/>
      <c r="L487" s="155"/>
      <c r="M487" s="155"/>
    </row>
    <row r="488" spans="3:13" ht="14.1" customHeight="1">
      <c r="C488" s="159"/>
      <c r="D488" s="155"/>
      <c r="E488" s="155"/>
      <c r="F488" s="155"/>
      <c r="G488" s="155"/>
      <c r="H488" s="155"/>
      <c r="I488" s="155"/>
      <c r="J488" s="155"/>
      <c r="K488" s="155"/>
      <c r="L488" s="155"/>
      <c r="M488" s="155"/>
    </row>
    <row r="489" spans="3:13" ht="14.1" customHeight="1">
      <c r="C489" s="159"/>
      <c r="D489" s="155"/>
      <c r="E489" s="155"/>
      <c r="F489" s="155"/>
      <c r="G489" s="155"/>
      <c r="H489" s="155"/>
      <c r="I489" s="155"/>
      <c r="J489" s="155"/>
      <c r="K489" s="155"/>
      <c r="L489" s="155"/>
      <c r="M489" s="155"/>
    </row>
    <row r="490" spans="3:13" ht="14.1" customHeight="1">
      <c r="C490" s="159"/>
      <c r="D490" s="155"/>
      <c r="E490" s="155"/>
      <c r="F490" s="155"/>
      <c r="G490" s="155"/>
      <c r="H490" s="155"/>
      <c r="I490" s="155"/>
      <c r="J490" s="155"/>
      <c r="K490" s="155"/>
      <c r="L490" s="155"/>
      <c r="M490" s="155"/>
    </row>
    <row r="491" spans="3:13" ht="14.1" customHeight="1">
      <c r="C491" s="159"/>
      <c r="D491" s="155"/>
      <c r="E491" s="155"/>
      <c r="F491" s="155"/>
      <c r="G491" s="155"/>
      <c r="H491" s="155"/>
      <c r="I491" s="155"/>
      <c r="J491" s="155"/>
      <c r="K491" s="155"/>
      <c r="L491" s="155"/>
      <c r="M491" s="155"/>
    </row>
    <row r="492" spans="3:13" ht="14.1" customHeight="1">
      <c r="C492" s="159"/>
      <c r="D492" s="155"/>
      <c r="E492" s="155"/>
      <c r="F492" s="155"/>
      <c r="G492" s="155"/>
      <c r="H492" s="155"/>
      <c r="I492" s="155"/>
      <c r="J492" s="155"/>
      <c r="K492" s="155"/>
      <c r="L492" s="155"/>
      <c r="M492" s="155"/>
    </row>
    <row r="493" spans="3:13" ht="14.1" customHeight="1">
      <c r="C493" s="159"/>
      <c r="D493" s="155"/>
      <c r="E493" s="155"/>
      <c r="F493" s="155"/>
      <c r="G493" s="155"/>
      <c r="H493" s="155"/>
      <c r="I493" s="155"/>
      <c r="J493" s="155"/>
      <c r="K493" s="155"/>
      <c r="L493" s="155"/>
      <c r="M493" s="155"/>
    </row>
    <row r="494" spans="3:13" ht="14.1" customHeight="1">
      <c r="C494" s="159"/>
      <c r="D494" s="155"/>
      <c r="E494" s="155"/>
      <c r="F494" s="155"/>
      <c r="G494" s="155"/>
      <c r="H494" s="155"/>
      <c r="I494" s="155"/>
      <c r="J494" s="155"/>
      <c r="K494" s="155"/>
      <c r="L494" s="155"/>
      <c r="M494" s="155"/>
    </row>
    <row r="495" spans="3:13" ht="14.1" customHeight="1">
      <c r="C495" s="159"/>
      <c r="D495" s="155"/>
      <c r="E495" s="155"/>
      <c r="F495" s="155"/>
      <c r="G495" s="155"/>
      <c r="H495" s="155"/>
      <c r="I495" s="155"/>
      <c r="J495" s="155"/>
      <c r="K495" s="155"/>
      <c r="L495" s="155"/>
      <c r="M495" s="155"/>
    </row>
    <row r="496" spans="3:13" ht="14.1" customHeight="1">
      <c r="C496" s="159"/>
      <c r="D496" s="155"/>
      <c r="E496" s="155"/>
      <c r="F496" s="155"/>
      <c r="G496" s="155"/>
      <c r="H496" s="155"/>
      <c r="I496" s="155"/>
      <c r="J496" s="155"/>
      <c r="K496" s="155"/>
      <c r="L496" s="155"/>
      <c r="M496" s="155"/>
    </row>
    <row r="497" spans="3:13" ht="14.1" customHeight="1">
      <c r="C497" s="159"/>
      <c r="D497" s="155"/>
      <c r="E497" s="155"/>
      <c r="F497" s="155"/>
      <c r="G497" s="155"/>
      <c r="H497" s="155"/>
      <c r="I497" s="155"/>
      <c r="J497" s="155"/>
      <c r="K497" s="155"/>
      <c r="L497" s="155"/>
      <c r="M497" s="155"/>
    </row>
    <row r="498" spans="3:13" ht="14.1" customHeight="1">
      <c r="C498" s="159"/>
      <c r="D498" s="155"/>
      <c r="E498" s="155"/>
      <c r="F498" s="155"/>
      <c r="G498" s="155"/>
      <c r="H498" s="155"/>
      <c r="I498" s="155"/>
      <c r="J498" s="155"/>
      <c r="K498" s="155"/>
      <c r="L498" s="155"/>
      <c r="M498" s="155"/>
    </row>
    <row r="499" spans="3:13" ht="14.1" customHeight="1">
      <c r="C499" s="159"/>
      <c r="D499" s="155"/>
      <c r="E499" s="155"/>
      <c r="F499" s="155"/>
      <c r="G499" s="155"/>
      <c r="H499" s="155"/>
      <c r="I499" s="155"/>
      <c r="J499" s="155"/>
      <c r="K499" s="155"/>
      <c r="L499" s="155"/>
      <c r="M499" s="155"/>
    </row>
    <row r="500" spans="3:13" ht="14.1" customHeight="1">
      <c r="C500" s="159"/>
      <c r="D500" s="155"/>
      <c r="E500" s="155"/>
      <c r="F500" s="155"/>
      <c r="G500" s="155"/>
      <c r="H500" s="155"/>
      <c r="I500" s="155"/>
      <c r="J500" s="155"/>
      <c r="K500" s="155"/>
      <c r="L500" s="155"/>
      <c r="M500" s="155"/>
    </row>
    <row r="501" spans="3:13" ht="14.1" customHeight="1">
      <c r="C501" s="159"/>
      <c r="D501" s="155"/>
      <c r="E501" s="155"/>
      <c r="F501" s="155"/>
      <c r="G501" s="155"/>
      <c r="H501" s="155"/>
      <c r="I501" s="155"/>
      <c r="J501" s="155"/>
      <c r="K501" s="155"/>
      <c r="L501" s="155"/>
      <c r="M501" s="155"/>
    </row>
    <row r="502" spans="3:13" ht="14.1" customHeight="1">
      <c r="C502" s="159"/>
      <c r="D502" s="155"/>
      <c r="E502" s="155"/>
      <c r="F502" s="155"/>
      <c r="G502" s="155"/>
      <c r="H502" s="155"/>
      <c r="I502" s="155"/>
      <c r="J502" s="155"/>
      <c r="K502" s="155"/>
      <c r="L502" s="155"/>
      <c r="M502" s="155"/>
    </row>
    <row r="503" spans="3:13" ht="14.1" customHeight="1">
      <c r="C503" s="159"/>
      <c r="D503" s="155"/>
      <c r="E503" s="155"/>
      <c r="F503" s="155"/>
      <c r="G503" s="155"/>
      <c r="H503" s="155"/>
      <c r="I503" s="155"/>
      <c r="J503" s="155"/>
      <c r="K503" s="155"/>
      <c r="L503" s="155"/>
      <c r="M503" s="155"/>
    </row>
    <row r="504" spans="3:13" ht="14.1" customHeight="1">
      <c r="C504" s="159"/>
      <c r="D504" s="155"/>
      <c r="E504" s="155"/>
      <c r="F504" s="155"/>
      <c r="G504" s="155"/>
      <c r="H504" s="155"/>
      <c r="I504" s="155"/>
      <c r="J504" s="155"/>
      <c r="K504" s="155"/>
      <c r="L504" s="155"/>
      <c r="M504" s="155"/>
    </row>
    <row r="505" spans="3:13" ht="14.1" customHeight="1">
      <c r="C505" s="159"/>
      <c r="D505" s="155"/>
      <c r="E505" s="155"/>
      <c r="F505" s="155"/>
      <c r="G505" s="155"/>
      <c r="H505" s="155"/>
      <c r="I505" s="155"/>
      <c r="J505" s="155"/>
      <c r="K505" s="155"/>
      <c r="L505" s="155"/>
      <c r="M505" s="155"/>
    </row>
    <row r="506" spans="3:13" ht="14.1" customHeight="1">
      <c r="C506" s="159"/>
      <c r="D506" s="155"/>
      <c r="E506" s="155"/>
      <c r="F506" s="155"/>
      <c r="G506" s="155"/>
      <c r="H506" s="155"/>
      <c r="I506" s="155"/>
      <c r="J506" s="155"/>
      <c r="K506" s="155"/>
      <c r="L506" s="155"/>
      <c r="M506" s="155"/>
    </row>
    <row r="507" spans="3:13" ht="14.1" customHeight="1">
      <c r="C507" s="159"/>
      <c r="D507" s="155"/>
      <c r="E507" s="155"/>
      <c r="F507" s="155"/>
      <c r="G507" s="155"/>
      <c r="H507" s="155"/>
      <c r="I507" s="155"/>
      <c r="J507" s="155"/>
      <c r="K507" s="155"/>
      <c r="L507" s="155"/>
      <c r="M507" s="155"/>
    </row>
    <row r="508" spans="3:13" ht="14.1" customHeight="1">
      <c r="C508" s="159"/>
      <c r="D508" s="155"/>
      <c r="E508" s="155"/>
      <c r="F508" s="155"/>
      <c r="G508" s="155"/>
      <c r="H508" s="155"/>
      <c r="I508" s="155"/>
      <c r="J508" s="155"/>
      <c r="K508" s="155"/>
      <c r="L508" s="155"/>
      <c r="M508" s="155"/>
    </row>
    <row r="509" spans="3:13" ht="14.1" customHeight="1">
      <c r="C509" s="159"/>
      <c r="D509" s="155"/>
      <c r="E509" s="155"/>
      <c r="F509" s="155"/>
      <c r="G509" s="155"/>
      <c r="H509" s="155"/>
      <c r="I509" s="155"/>
      <c r="J509" s="155"/>
      <c r="K509" s="155"/>
      <c r="L509" s="155"/>
      <c r="M509" s="155"/>
    </row>
    <row r="510" spans="3:13" ht="14.1" customHeight="1">
      <c r="C510" s="159"/>
      <c r="D510" s="155"/>
      <c r="E510" s="155"/>
      <c r="F510" s="155"/>
      <c r="G510" s="155"/>
      <c r="H510" s="155"/>
      <c r="I510" s="155"/>
      <c r="J510" s="155"/>
      <c r="K510" s="155"/>
      <c r="L510" s="155"/>
      <c r="M510" s="155"/>
    </row>
    <row r="511" spans="3:13" ht="14.1" customHeight="1">
      <c r="C511" s="159"/>
      <c r="D511" s="155"/>
      <c r="E511" s="155"/>
      <c r="F511" s="155"/>
      <c r="G511" s="155"/>
      <c r="H511" s="155"/>
      <c r="I511" s="155"/>
      <c r="J511" s="155"/>
      <c r="K511" s="155"/>
      <c r="L511" s="155"/>
      <c r="M511" s="155"/>
    </row>
    <row r="512" spans="3:13" ht="14.1" customHeight="1">
      <c r="C512" s="159"/>
      <c r="D512" s="155"/>
      <c r="E512" s="155"/>
      <c r="F512" s="155"/>
      <c r="G512" s="155"/>
      <c r="H512" s="155"/>
      <c r="I512" s="155"/>
      <c r="J512" s="155"/>
      <c r="K512" s="155"/>
      <c r="L512" s="155"/>
      <c r="M512" s="155"/>
    </row>
    <row r="513" spans="3:13" ht="14.1" customHeight="1">
      <c r="C513" s="159"/>
      <c r="D513" s="155"/>
      <c r="E513" s="155"/>
      <c r="F513" s="155"/>
      <c r="G513" s="155"/>
      <c r="H513" s="155"/>
      <c r="I513" s="155"/>
      <c r="J513" s="155"/>
      <c r="K513" s="155"/>
      <c r="L513" s="155"/>
      <c r="M513" s="155"/>
    </row>
    <row r="514" spans="3:13" ht="14.1" customHeight="1">
      <c r="C514" s="159"/>
      <c r="D514" s="155"/>
      <c r="E514" s="155"/>
      <c r="F514" s="155"/>
      <c r="G514" s="155"/>
      <c r="H514" s="155"/>
      <c r="I514" s="155"/>
      <c r="J514" s="155"/>
      <c r="K514" s="155"/>
      <c r="L514" s="155"/>
      <c r="M514" s="155"/>
    </row>
    <row r="515" spans="3:13" ht="14.1" customHeight="1">
      <c r="C515" s="159"/>
      <c r="D515" s="155"/>
      <c r="E515" s="155"/>
      <c r="F515" s="155"/>
      <c r="G515" s="155"/>
      <c r="H515" s="155"/>
      <c r="I515" s="155"/>
      <c r="J515" s="155"/>
      <c r="K515" s="155"/>
      <c r="L515" s="155"/>
      <c r="M515" s="155"/>
    </row>
    <row r="516" spans="3:13" ht="14.1" customHeight="1">
      <c r="C516" s="159"/>
      <c r="D516" s="155"/>
      <c r="E516" s="155"/>
      <c r="F516" s="155"/>
      <c r="G516" s="155"/>
      <c r="H516" s="155"/>
      <c r="I516" s="155"/>
      <c r="J516" s="155"/>
      <c r="K516" s="155"/>
      <c r="L516" s="155"/>
      <c r="M516" s="155"/>
    </row>
    <row r="517" spans="3:13" ht="14.1" customHeight="1">
      <c r="C517" s="159"/>
      <c r="D517" s="155"/>
      <c r="E517" s="155"/>
      <c r="F517" s="155"/>
      <c r="G517" s="155"/>
      <c r="H517" s="155"/>
      <c r="I517" s="155"/>
      <c r="J517" s="155"/>
      <c r="K517" s="155"/>
      <c r="L517" s="155"/>
      <c r="M517" s="155"/>
    </row>
    <row r="518" spans="3:13" ht="14.1" customHeight="1">
      <c r="C518" s="159"/>
      <c r="D518" s="155"/>
      <c r="E518" s="155"/>
      <c r="F518" s="155"/>
      <c r="G518" s="155"/>
      <c r="H518" s="155"/>
      <c r="I518" s="155"/>
      <c r="J518" s="155"/>
      <c r="K518" s="155"/>
      <c r="L518" s="155"/>
      <c r="M518" s="155"/>
    </row>
    <row r="519" spans="3:13" ht="14.1" customHeight="1">
      <c r="C519" s="159"/>
      <c r="D519" s="155"/>
      <c r="E519" s="155"/>
      <c r="F519" s="155"/>
      <c r="G519" s="155"/>
      <c r="H519" s="155"/>
      <c r="I519" s="155"/>
      <c r="J519" s="155"/>
      <c r="K519" s="155"/>
      <c r="L519" s="155"/>
      <c r="M519" s="155"/>
    </row>
    <row r="520" spans="3:13" ht="14.1" customHeight="1">
      <c r="C520" s="159"/>
      <c r="D520" s="155"/>
      <c r="E520" s="155"/>
      <c r="F520" s="155"/>
      <c r="G520" s="155"/>
      <c r="H520" s="155"/>
      <c r="I520" s="155"/>
      <c r="J520" s="155"/>
      <c r="K520" s="155"/>
      <c r="L520" s="155"/>
      <c r="M520" s="155"/>
    </row>
    <row r="521" spans="3:13" ht="14.1" customHeight="1">
      <c r="C521" s="159"/>
      <c r="D521" s="155"/>
      <c r="E521" s="155"/>
      <c r="F521" s="155"/>
      <c r="G521" s="155"/>
      <c r="H521" s="155"/>
      <c r="I521" s="155"/>
      <c r="J521" s="155"/>
      <c r="K521" s="155"/>
      <c r="L521" s="155"/>
      <c r="M521" s="155"/>
    </row>
    <row r="522" spans="3:13" ht="14.1" customHeight="1">
      <c r="C522" s="159"/>
      <c r="D522" s="155"/>
      <c r="E522" s="155"/>
      <c r="F522" s="155"/>
      <c r="G522" s="155"/>
      <c r="H522" s="155"/>
      <c r="I522" s="155"/>
      <c r="J522" s="155"/>
      <c r="K522" s="155"/>
      <c r="L522" s="155"/>
      <c r="M522" s="155"/>
    </row>
    <row r="523" spans="3:13" ht="14.1" customHeight="1">
      <c r="C523" s="159"/>
      <c r="D523" s="155"/>
      <c r="E523" s="155"/>
      <c r="F523" s="155"/>
      <c r="G523" s="155"/>
      <c r="H523" s="155"/>
      <c r="I523" s="155"/>
      <c r="J523" s="155"/>
      <c r="K523" s="155"/>
      <c r="L523" s="155"/>
      <c r="M523" s="155"/>
    </row>
    <row r="524" spans="3:13" ht="14.1" customHeight="1">
      <c r="C524" s="159"/>
      <c r="D524" s="155"/>
      <c r="E524" s="155"/>
      <c r="F524" s="155"/>
      <c r="G524" s="155"/>
      <c r="H524" s="155"/>
      <c r="I524" s="155"/>
      <c r="J524" s="155"/>
      <c r="K524" s="155"/>
      <c r="L524" s="155"/>
      <c r="M524" s="155"/>
    </row>
    <row r="525" spans="3:13" ht="14.1" customHeight="1">
      <c r="C525" s="159"/>
      <c r="D525" s="155"/>
      <c r="E525" s="155"/>
      <c r="F525" s="155"/>
      <c r="G525" s="155"/>
      <c r="H525" s="155"/>
      <c r="I525" s="155"/>
      <c r="J525" s="155"/>
      <c r="K525" s="155"/>
      <c r="L525" s="155"/>
      <c r="M525" s="155"/>
    </row>
    <row r="526" spans="3:13" ht="14.1" customHeight="1">
      <c r="C526" s="159"/>
      <c r="D526" s="155"/>
      <c r="E526" s="155"/>
      <c r="F526" s="155"/>
      <c r="G526" s="155"/>
      <c r="H526" s="155"/>
      <c r="I526" s="155"/>
      <c r="J526" s="155"/>
      <c r="K526" s="155"/>
      <c r="L526" s="155"/>
      <c r="M526" s="155"/>
    </row>
    <row r="527" spans="3:13" ht="14.1" customHeight="1">
      <c r="C527" s="159"/>
      <c r="D527" s="155"/>
      <c r="E527" s="155"/>
      <c r="F527" s="155"/>
      <c r="G527" s="155"/>
      <c r="H527" s="155"/>
      <c r="I527" s="155"/>
      <c r="J527" s="155"/>
      <c r="K527" s="155"/>
      <c r="L527" s="155"/>
      <c r="M527" s="155"/>
    </row>
    <row r="528" spans="3:13" ht="14.1" customHeight="1">
      <c r="C528" s="159"/>
      <c r="D528" s="155"/>
      <c r="E528" s="155"/>
      <c r="F528" s="155"/>
      <c r="G528" s="155"/>
      <c r="H528" s="155"/>
      <c r="I528" s="155"/>
      <c r="J528" s="155"/>
      <c r="K528" s="155"/>
      <c r="L528" s="155"/>
      <c r="M528" s="155"/>
    </row>
    <row r="529" spans="3:13" ht="14.1" customHeight="1">
      <c r="C529" s="159"/>
      <c r="D529" s="155"/>
      <c r="E529" s="155"/>
      <c r="F529" s="155"/>
      <c r="G529" s="155"/>
      <c r="H529" s="155"/>
      <c r="I529" s="155"/>
      <c r="J529" s="155"/>
      <c r="K529" s="155"/>
      <c r="L529" s="155"/>
      <c r="M529" s="155"/>
    </row>
    <row r="530" spans="3:13" ht="14.1" customHeight="1">
      <c r="C530" s="159"/>
      <c r="D530" s="155"/>
      <c r="E530" s="155"/>
      <c r="F530" s="155"/>
      <c r="G530" s="155"/>
      <c r="H530" s="155"/>
      <c r="I530" s="155"/>
      <c r="J530" s="155"/>
      <c r="K530" s="155"/>
      <c r="L530" s="155"/>
      <c r="M530" s="155"/>
    </row>
    <row r="531" spans="3:13" ht="14.1" customHeight="1">
      <c r="C531" s="159"/>
      <c r="D531" s="155"/>
      <c r="E531" s="155"/>
      <c r="F531" s="155"/>
      <c r="G531" s="155"/>
      <c r="H531" s="155"/>
      <c r="I531" s="155"/>
      <c r="J531" s="155"/>
      <c r="K531" s="155"/>
      <c r="L531" s="155"/>
      <c r="M531" s="155"/>
    </row>
    <row r="532" spans="3:13" ht="14.1" customHeight="1">
      <c r="C532" s="159"/>
      <c r="D532" s="155"/>
      <c r="E532" s="155"/>
      <c r="F532" s="155"/>
      <c r="G532" s="155"/>
      <c r="H532" s="155"/>
      <c r="I532" s="155"/>
      <c r="J532" s="155"/>
      <c r="K532" s="155"/>
      <c r="L532" s="155"/>
      <c r="M532" s="155"/>
    </row>
    <row r="533" spans="3:13" ht="14.1" customHeight="1">
      <c r="C533" s="159"/>
      <c r="D533" s="155"/>
      <c r="E533" s="155"/>
      <c r="F533" s="155"/>
      <c r="G533" s="155"/>
      <c r="H533" s="155"/>
      <c r="I533" s="155"/>
      <c r="J533" s="155"/>
      <c r="K533" s="155"/>
      <c r="L533" s="155"/>
      <c r="M533" s="155"/>
    </row>
    <row r="534" spans="3:13" ht="14.1" customHeight="1">
      <c r="C534" s="159"/>
      <c r="D534" s="155"/>
      <c r="E534" s="155"/>
      <c r="F534" s="155"/>
      <c r="G534" s="155"/>
      <c r="H534" s="155"/>
      <c r="I534" s="155"/>
      <c r="J534" s="155"/>
      <c r="K534" s="155"/>
      <c r="L534" s="155"/>
      <c r="M534" s="155"/>
    </row>
    <row r="535" spans="3:13" ht="14.1" customHeight="1">
      <c r="C535" s="159"/>
      <c r="D535" s="155"/>
      <c r="E535" s="155"/>
      <c r="F535" s="155"/>
      <c r="G535" s="155"/>
      <c r="H535" s="155"/>
      <c r="I535" s="155"/>
      <c r="J535" s="155"/>
      <c r="K535" s="155"/>
      <c r="L535" s="155"/>
      <c r="M535" s="155"/>
    </row>
    <row r="536" spans="3:13" ht="14.1" customHeight="1">
      <c r="C536" s="159"/>
      <c r="D536" s="155"/>
      <c r="E536" s="155"/>
      <c r="F536" s="155"/>
      <c r="G536" s="155"/>
      <c r="H536" s="155"/>
      <c r="I536" s="155"/>
      <c r="J536" s="155"/>
      <c r="K536" s="155"/>
      <c r="L536" s="155"/>
      <c r="M536" s="155"/>
    </row>
    <row r="537" spans="3:13" ht="14.1" customHeight="1">
      <c r="C537" s="159"/>
      <c r="D537" s="155"/>
      <c r="E537" s="155"/>
      <c r="F537" s="155"/>
      <c r="G537" s="155"/>
      <c r="H537" s="155"/>
      <c r="I537" s="155"/>
      <c r="J537" s="155"/>
      <c r="K537" s="155"/>
      <c r="L537" s="155"/>
      <c r="M537" s="155"/>
    </row>
    <row r="538" spans="3:13" ht="14.1" customHeight="1">
      <c r="C538" s="159"/>
      <c r="D538" s="155"/>
      <c r="E538" s="155"/>
      <c r="F538" s="155"/>
      <c r="G538" s="155"/>
      <c r="H538" s="155"/>
      <c r="I538" s="155"/>
      <c r="J538" s="155"/>
      <c r="K538" s="155"/>
      <c r="L538" s="155"/>
      <c r="M538" s="155"/>
    </row>
    <row r="539" spans="3:13" ht="14.1" customHeight="1">
      <c r="C539" s="159"/>
      <c r="D539" s="155"/>
      <c r="E539" s="155"/>
      <c r="F539" s="155"/>
      <c r="G539" s="155"/>
      <c r="H539" s="155"/>
      <c r="I539" s="155"/>
      <c r="J539" s="155"/>
      <c r="K539" s="155"/>
      <c r="L539" s="155"/>
      <c r="M539" s="155"/>
    </row>
    <row r="540" spans="3:13" ht="14.1" customHeight="1">
      <c r="C540" s="159"/>
      <c r="D540" s="155"/>
      <c r="E540" s="155"/>
      <c r="F540" s="155"/>
      <c r="G540" s="155"/>
      <c r="H540" s="155"/>
      <c r="I540" s="155"/>
      <c r="J540" s="155"/>
      <c r="K540" s="155"/>
      <c r="L540" s="155"/>
      <c r="M540" s="155"/>
    </row>
    <row r="541" spans="3:13" ht="14.1" customHeight="1">
      <c r="C541" s="159"/>
      <c r="D541" s="155"/>
      <c r="E541" s="155"/>
      <c r="F541" s="155"/>
      <c r="G541" s="155"/>
      <c r="H541" s="155"/>
      <c r="I541" s="155"/>
      <c r="J541" s="155"/>
      <c r="K541" s="155"/>
      <c r="L541" s="155"/>
      <c r="M541" s="155"/>
    </row>
    <row r="542" spans="3:13" ht="14.1" customHeight="1">
      <c r="C542" s="159"/>
      <c r="D542" s="155"/>
      <c r="E542" s="155"/>
      <c r="F542" s="155"/>
      <c r="G542" s="155"/>
      <c r="H542" s="155"/>
      <c r="I542" s="155"/>
      <c r="J542" s="155"/>
      <c r="K542" s="155"/>
      <c r="L542" s="155"/>
      <c r="M542" s="155"/>
    </row>
    <row r="543" spans="3:13" ht="14.1" customHeight="1">
      <c r="C543" s="159"/>
      <c r="D543" s="155"/>
      <c r="E543" s="155"/>
      <c r="F543" s="155"/>
      <c r="G543" s="155"/>
      <c r="H543" s="155"/>
      <c r="I543" s="155"/>
      <c r="J543" s="155"/>
      <c r="K543" s="155"/>
      <c r="L543" s="155"/>
      <c r="M543" s="155"/>
    </row>
    <row r="544" spans="3:13" ht="14.1" customHeight="1">
      <c r="C544" s="159"/>
      <c r="D544" s="155"/>
      <c r="E544" s="155"/>
      <c r="F544" s="155"/>
      <c r="G544" s="155"/>
      <c r="H544" s="155"/>
      <c r="I544" s="155"/>
      <c r="J544" s="155"/>
      <c r="K544" s="155"/>
      <c r="L544" s="155"/>
      <c r="M544" s="155"/>
    </row>
    <row r="545" spans="3:13" ht="14.1" customHeight="1">
      <c r="C545" s="159"/>
      <c r="D545" s="155"/>
      <c r="E545" s="155"/>
      <c r="F545" s="155"/>
      <c r="G545" s="155"/>
      <c r="H545" s="155"/>
      <c r="I545" s="155"/>
      <c r="J545" s="155"/>
      <c r="K545" s="155"/>
      <c r="L545" s="155"/>
      <c r="M545" s="155"/>
    </row>
    <row r="546" spans="3:13" ht="14.1" customHeight="1">
      <c r="C546" s="159"/>
      <c r="D546" s="155"/>
      <c r="E546" s="155"/>
      <c r="F546" s="155"/>
      <c r="G546" s="155"/>
      <c r="H546" s="155"/>
      <c r="I546" s="155"/>
      <c r="J546" s="155"/>
      <c r="K546" s="155"/>
      <c r="L546" s="155"/>
      <c r="M546" s="155"/>
    </row>
    <row r="547" spans="3:13" ht="14.1" customHeight="1">
      <c r="C547" s="159"/>
      <c r="D547" s="155"/>
      <c r="E547" s="155"/>
      <c r="F547" s="155"/>
      <c r="G547" s="155"/>
      <c r="H547" s="155"/>
      <c r="I547" s="155"/>
      <c r="J547" s="155"/>
      <c r="K547" s="155"/>
      <c r="L547" s="155"/>
      <c r="M547" s="155"/>
    </row>
    <row r="548" spans="3:13" ht="14.1" customHeight="1">
      <c r="C548" s="159"/>
      <c r="D548" s="155"/>
      <c r="E548" s="155"/>
      <c r="F548" s="155"/>
      <c r="G548" s="155"/>
      <c r="H548" s="155"/>
      <c r="I548" s="155"/>
      <c r="J548" s="155"/>
      <c r="K548" s="155"/>
      <c r="L548" s="155"/>
      <c r="M548" s="155"/>
    </row>
    <row r="549" spans="3:13" ht="14.1" customHeight="1">
      <c r="C549" s="159"/>
      <c r="D549" s="155"/>
      <c r="E549" s="155"/>
      <c r="F549" s="155"/>
      <c r="G549" s="155"/>
      <c r="H549" s="155"/>
      <c r="I549" s="155"/>
      <c r="J549" s="155"/>
      <c r="K549" s="155"/>
      <c r="L549" s="155"/>
      <c r="M549" s="155"/>
    </row>
    <row r="550" spans="3:13" ht="14.1" customHeight="1">
      <c r="C550" s="159"/>
      <c r="D550" s="155"/>
      <c r="E550" s="155"/>
      <c r="F550" s="155"/>
      <c r="G550" s="155"/>
      <c r="H550" s="155"/>
      <c r="I550" s="155"/>
      <c r="J550" s="155"/>
      <c r="K550" s="155"/>
      <c r="L550" s="155"/>
      <c r="M550" s="155"/>
    </row>
    <row r="551" spans="3:13" ht="14.1" customHeight="1">
      <c r="C551" s="159"/>
      <c r="D551" s="155"/>
      <c r="E551" s="155"/>
      <c r="F551" s="155"/>
      <c r="G551" s="155"/>
      <c r="H551" s="155"/>
      <c r="I551" s="155"/>
      <c r="J551" s="155"/>
      <c r="K551" s="155"/>
      <c r="L551" s="155"/>
      <c r="M551" s="155"/>
    </row>
    <row r="552" spans="3:13" ht="14.1" customHeight="1">
      <c r="C552" s="159"/>
      <c r="D552" s="155"/>
      <c r="E552" s="155"/>
      <c r="F552" s="155"/>
      <c r="G552" s="155"/>
      <c r="H552" s="155"/>
      <c r="I552" s="155"/>
      <c r="J552" s="155"/>
      <c r="K552" s="155"/>
      <c r="L552" s="155"/>
      <c r="M552" s="155"/>
    </row>
    <row r="553" spans="3:13" ht="14.1" customHeight="1">
      <c r="C553" s="159"/>
      <c r="D553" s="155"/>
      <c r="E553" s="155"/>
      <c r="F553" s="155"/>
      <c r="G553" s="155"/>
      <c r="H553" s="155"/>
      <c r="I553" s="155"/>
      <c r="J553" s="155"/>
      <c r="K553" s="155"/>
      <c r="L553" s="155"/>
      <c r="M553" s="155"/>
    </row>
    <row r="554" spans="3:13" ht="14.1" customHeight="1">
      <c r="C554" s="159"/>
      <c r="D554" s="155"/>
      <c r="E554" s="155"/>
      <c r="F554" s="155"/>
      <c r="G554" s="155"/>
      <c r="H554" s="155"/>
      <c r="I554" s="155"/>
      <c r="J554" s="155"/>
      <c r="K554" s="155"/>
      <c r="L554" s="155"/>
      <c r="M554" s="155"/>
    </row>
    <row r="555" spans="3:13" ht="14.1" customHeight="1">
      <c r="C555" s="159"/>
      <c r="D555" s="155"/>
      <c r="E555" s="155"/>
      <c r="F555" s="155"/>
      <c r="G555" s="155"/>
      <c r="H555" s="155"/>
      <c r="I555" s="155"/>
      <c r="J555" s="155"/>
      <c r="K555" s="155"/>
      <c r="L555" s="155"/>
      <c r="M555" s="155"/>
    </row>
    <row r="556" spans="3:13" ht="14.1" customHeight="1">
      <c r="C556" s="159"/>
      <c r="D556" s="155"/>
      <c r="E556" s="155"/>
      <c r="F556" s="155"/>
      <c r="G556" s="155"/>
      <c r="H556" s="155"/>
      <c r="I556" s="155"/>
      <c r="J556" s="155"/>
      <c r="K556" s="155"/>
      <c r="L556" s="155"/>
      <c r="M556" s="155"/>
    </row>
    <row r="557" spans="3:13" ht="14.1" customHeight="1">
      <c r="C557" s="159"/>
      <c r="D557" s="155"/>
      <c r="E557" s="155"/>
      <c r="F557" s="155"/>
      <c r="G557" s="155"/>
      <c r="H557" s="155"/>
      <c r="I557" s="155"/>
      <c r="J557" s="155"/>
      <c r="K557" s="155"/>
      <c r="L557" s="155"/>
      <c r="M557" s="155"/>
    </row>
    <row r="558" spans="3:13" ht="14.1" customHeight="1">
      <c r="C558" s="159"/>
      <c r="D558" s="155"/>
      <c r="E558" s="155"/>
      <c r="F558" s="155"/>
      <c r="G558" s="155"/>
      <c r="H558" s="155"/>
      <c r="I558" s="155"/>
      <c r="J558" s="155"/>
      <c r="K558" s="155"/>
      <c r="L558" s="155"/>
      <c r="M558" s="155"/>
    </row>
    <row r="559" spans="3:13" ht="14.1" customHeight="1">
      <c r="C559" s="159"/>
      <c r="D559" s="155"/>
      <c r="E559" s="155"/>
      <c r="F559" s="155"/>
      <c r="G559" s="155"/>
      <c r="H559" s="155"/>
      <c r="I559" s="155"/>
      <c r="J559" s="155"/>
      <c r="K559" s="155"/>
      <c r="L559" s="155"/>
      <c r="M559" s="155"/>
    </row>
    <row r="560" spans="3:13" ht="14.1" customHeight="1">
      <c r="C560" s="159"/>
      <c r="D560" s="155"/>
      <c r="E560" s="155"/>
      <c r="F560" s="155"/>
      <c r="G560" s="155"/>
      <c r="H560" s="155"/>
      <c r="I560" s="155"/>
      <c r="J560" s="155"/>
      <c r="K560" s="155"/>
      <c r="L560" s="155"/>
      <c r="M560" s="155"/>
    </row>
    <row r="561" spans="3:13" ht="14.1" customHeight="1">
      <c r="C561" s="159"/>
      <c r="D561" s="155"/>
      <c r="E561" s="155"/>
      <c r="F561" s="155"/>
      <c r="G561" s="155"/>
      <c r="H561" s="155"/>
      <c r="I561" s="155"/>
      <c r="J561" s="155"/>
      <c r="K561" s="155"/>
      <c r="L561" s="155"/>
      <c r="M561" s="155"/>
    </row>
    <row r="562" spans="3:13" ht="14.1" customHeight="1">
      <c r="C562" s="159"/>
      <c r="D562" s="155"/>
      <c r="E562" s="155"/>
      <c r="F562" s="155"/>
      <c r="G562" s="155"/>
      <c r="H562" s="155"/>
      <c r="I562" s="155"/>
      <c r="J562" s="155"/>
      <c r="K562" s="155"/>
      <c r="L562" s="155"/>
      <c r="M562" s="155"/>
    </row>
    <row r="563" spans="3:13" ht="14.1" customHeight="1">
      <c r="C563" s="159"/>
      <c r="D563" s="155"/>
      <c r="E563" s="155"/>
      <c r="F563" s="155"/>
      <c r="G563" s="155"/>
      <c r="H563" s="155"/>
      <c r="I563" s="155"/>
      <c r="J563" s="155"/>
      <c r="K563" s="155"/>
      <c r="L563" s="155"/>
      <c r="M563" s="155"/>
    </row>
    <row r="564" spans="3:13" ht="14.1" customHeight="1">
      <c r="C564" s="159"/>
      <c r="D564" s="155"/>
      <c r="E564" s="155"/>
      <c r="F564" s="155"/>
      <c r="G564" s="155"/>
      <c r="H564" s="155"/>
      <c r="I564" s="155"/>
      <c r="J564" s="155"/>
      <c r="K564" s="155"/>
      <c r="L564" s="155"/>
      <c r="M564" s="155"/>
    </row>
    <row r="565" spans="3:13" ht="14.1" customHeight="1">
      <c r="C565" s="159"/>
      <c r="D565" s="155"/>
      <c r="E565" s="155"/>
      <c r="F565" s="155"/>
      <c r="G565" s="155"/>
      <c r="H565" s="155"/>
      <c r="I565" s="155"/>
      <c r="J565" s="155"/>
      <c r="K565" s="155"/>
      <c r="L565" s="155"/>
      <c r="M565" s="155"/>
    </row>
    <row r="566" spans="3:13" ht="14.1" customHeight="1">
      <c r="C566" s="159"/>
      <c r="D566" s="155"/>
      <c r="E566" s="155"/>
      <c r="F566" s="155"/>
      <c r="G566" s="155"/>
      <c r="H566" s="155"/>
      <c r="I566" s="155"/>
      <c r="J566" s="155"/>
      <c r="K566" s="155"/>
      <c r="L566" s="155"/>
      <c r="M566" s="155"/>
    </row>
    <row r="567" spans="3:13" ht="14.1" customHeight="1">
      <c r="C567" s="159"/>
      <c r="D567" s="155"/>
      <c r="E567" s="155"/>
      <c r="F567" s="155"/>
      <c r="G567" s="155"/>
      <c r="H567" s="155"/>
      <c r="I567" s="155"/>
      <c r="J567" s="155"/>
      <c r="K567" s="155"/>
      <c r="L567" s="155"/>
      <c r="M567" s="155"/>
    </row>
    <row r="568" spans="3:13" ht="14.1" customHeight="1">
      <c r="C568" s="159"/>
      <c r="D568" s="155"/>
      <c r="E568" s="155"/>
      <c r="F568" s="155"/>
      <c r="G568" s="155"/>
      <c r="H568" s="155"/>
      <c r="I568" s="155"/>
      <c r="J568" s="155"/>
      <c r="K568" s="155"/>
      <c r="L568" s="155"/>
      <c r="M568" s="155"/>
    </row>
    <row r="569" spans="3:13" ht="14.1" customHeight="1">
      <c r="C569" s="159"/>
      <c r="D569" s="155"/>
      <c r="E569" s="155"/>
      <c r="F569" s="155"/>
      <c r="G569" s="155"/>
      <c r="H569" s="155"/>
      <c r="I569" s="155"/>
      <c r="J569" s="155"/>
      <c r="K569" s="155"/>
      <c r="L569" s="155"/>
      <c r="M569" s="155"/>
    </row>
    <row r="570" spans="3:13" ht="14.1" customHeight="1">
      <c r="C570" s="159"/>
      <c r="D570" s="155"/>
      <c r="E570" s="155"/>
      <c r="F570" s="155"/>
      <c r="G570" s="155"/>
      <c r="H570" s="155"/>
      <c r="I570" s="155"/>
      <c r="J570" s="155"/>
      <c r="K570" s="155"/>
      <c r="L570" s="155"/>
      <c r="M570" s="155"/>
    </row>
    <row r="571" spans="3:13" ht="14.1" customHeight="1">
      <c r="C571" s="159"/>
      <c r="D571" s="155"/>
      <c r="E571" s="155"/>
      <c r="F571" s="155"/>
      <c r="G571" s="155"/>
      <c r="H571" s="155"/>
      <c r="I571" s="155"/>
      <c r="J571" s="155"/>
      <c r="K571" s="155"/>
      <c r="L571" s="155"/>
      <c r="M571" s="155"/>
    </row>
    <row r="572" spans="3:13" ht="14.1" customHeight="1">
      <c r="C572" s="159"/>
      <c r="D572" s="155"/>
      <c r="E572" s="155"/>
      <c r="F572" s="155"/>
      <c r="G572" s="155"/>
      <c r="H572" s="155"/>
      <c r="I572" s="155"/>
      <c r="J572" s="155"/>
      <c r="K572" s="155"/>
      <c r="L572" s="155"/>
      <c r="M572" s="155"/>
    </row>
    <row r="573" spans="3:13" ht="14.1" customHeight="1">
      <c r="C573" s="159"/>
      <c r="D573" s="155"/>
      <c r="E573" s="155"/>
      <c r="F573" s="155"/>
      <c r="G573" s="155"/>
      <c r="H573" s="155"/>
      <c r="I573" s="155"/>
      <c r="J573" s="155"/>
      <c r="K573" s="155"/>
      <c r="L573" s="155"/>
      <c r="M573" s="155"/>
    </row>
    <row r="574" spans="3:13" ht="14.1" customHeight="1">
      <c r="C574" s="159"/>
      <c r="D574" s="155"/>
      <c r="E574" s="155"/>
      <c r="F574" s="155"/>
      <c r="G574" s="155"/>
      <c r="H574" s="155"/>
      <c r="I574" s="155"/>
      <c r="J574" s="155"/>
      <c r="K574" s="155"/>
      <c r="L574" s="155"/>
      <c r="M574" s="155"/>
    </row>
    <row r="575" spans="3:13" ht="14.1" customHeight="1">
      <c r="C575" s="159"/>
      <c r="D575" s="155"/>
      <c r="E575" s="155"/>
      <c r="F575" s="155"/>
      <c r="G575" s="155"/>
      <c r="H575" s="155"/>
      <c r="I575" s="155"/>
      <c r="J575" s="155"/>
      <c r="K575" s="155"/>
      <c r="L575" s="155"/>
      <c r="M575" s="155"/>
    </row>
    <row r="576" spans="3:13" ht="14.1" customHeight="1">
      <c r="C576" s="159"/>
      <c r="D576" s="155"/>
      <c r="E576" s="155"/>
      <c r="F576" s="155"/>
      <c r="G576" s="155"/>
      <c r="H576" s="155"/>
      <c r="I576" s="155"/>
      <c r="J576" s="155"/>
      <c r="K576" s="155"/>
      <c r="L576" s="155"/>
      <c r="M576" s="155"/>
    </row>
    <row r="577" spans="3:13" ht="14.1" customHeight="1">
      <c r="C577" s="159"/>
      <c r="D577" s="155"/>
      <c r="E577" s="155"/>
      <c r="F577" s="155"/>
      <c r="G577" s="155"/>
      <c r="H577" s="155"/>
      <c r="I577" s="155"/>
      <c r="J577" s="155"/>
      <c r="K577" s="155"/>
      <c r="L577" s="155"/>
      <c r="M577" s="155"/>
    </row>
    <row r="578" spans="3:13" ht="14.1" customHeight="1">
      <c r="C578" s="159"/>
      <c r="D578" s="155"/>
      <c r="E578" s="155"/>
      <c r="F578" s="155"/>
      <c r="G578" s="155"/>
      <c r="H578" s="155"/>
      <c r="I578" s="155"/>
      <c r="J578" s="155"/>
      <c r="K578" s="155"/>
      <c r="L578" s="155"/>
      <c r="M578" s="155"/>
    </row>
    <row r="579" spans="3:13" ht="14.1" customHeight="1">
      <c r="C579" s="159"/>
      <c r="D579" s="155"/>
      <c r="E579" s="155"/>
      <c r="F579" s="155"/>
      <c r="G579" s="155"/>
      <c r="H579" s="155"/>
      <c r="I579" s="155"/>
      <c r="J579" s="155"/>
      <c r="K579" s="155"/>
      <c r="L579" s="155"/>
      <c r="M579" s="155"/>
    </row>
    <row r="580" spans="3:13" ht="14.1" customHeight="1">
      <c r="C580" s="159"/>
      <c r="D580" s="155"/>
      <c r="E580" s="155"/>
      <c r="F580" s="155"/>
      <c r="G580" s="155"/>
      <c r="H580" s="155"/>
      <c r="I580" s="155"/>
      <c r="J580" s="155"/>
      <c r="K580" s="155"/>
      <c r="L580" s="155"/>
      <c r="M580" s="155"/>
    </row>
    <row r="581" spans="3:13" ht="14.1" customHeight="1">
      <c r="C581" s="159"/>
      <c r="D581" s="155"/>
      <c r="E581" s="155"/>
      <c r="F581" s="155"/>
      <c r="G581" s="155"/>
      <c r="H581" s="155"/>
      <c r="I581" s="155"/>
      <c r="J581" s="155"/>
      <c r="K581" s="155"/>
      <c r="L581" s="155"/>
      <c r="M581" s="155"/>
    </row>
    <row r="582" spans="3:13" ht="14.1" customHeight="1">
      <c r="C582" s="159"/>
      <c r="D582" s="155"/>
      <c r="E582" s="155"/>
      <c r="F582" s="155"/>
      <c r="G582" s="155"/>
      <c r="H582" s="155"/>
      <c r="I582" s="155"/>
      <c r="J582" s="155"/>
      <c r="K582" s="155"/>
      <c r="L582" s="155"/>
      <c r="M582" s="155"/>
    </row>
    <row r="583" spans="3:13" ht="14.1" customHeight="1">
      <c r="C583" s="159"/>
      <c r="D583" s="155"/>
      <c r="E583" s="155"/>
      <c r="F583" s="155"/>
      <c r="G583" s="155"/>
      <c r="H583" s="155"/>
      <c r="I583" s="155"/>
      <c r="J583" s="155"/>
      <c r="K583" s="155"/>
      <c r="L583" s="155"/>
      <c r="M583" s="155"/>
    </row>
    <row r="584" spans="3:13" ht="14.1" customHeight="1">
      <c r="C584" s="159"/>
      <c r="D584" s="155"/>
      <c r="E584" s="155"/>
      <c r="F584" s="155"/>
      <c r="G584" s="155"/>
      <c r="H584" s="155"/>
      <c r="I584" s="155"/>
      <c r="J584" s="155"/>
      <c r="K584" s="155"/>
      <c r="L584" s="155"/>
      <c r="M584" s="155"/>
    </row>
    <row r="585" spans="3:13" ht="14.1" customHeight="1">
      <c r="C585" s="159"/>
      <c r="D585" s="155"/>
      <c r="E585" s="155"/>
      <c r="F585" s="155"/>
      <c r="G585" s="155"/>
      <c r="H585" s="155"/>
      <c r="I585" s="155"/>
      <c r="J585" s="155"/>
      <c r="K585" s="155"/>
      <c r="L585" s="155"/>
      <c r="M585" s="155"/>
    </row>
    <row r="586" spans="3:13" ht="14.1" customHeight="1">
      <c r="C586" s="159"/>
      <c r="D586" s="155"/>
      <c r="E586" s="155"/>
      <c r="F586" s="155"/>
      <c r="G586" s="155"/>
      <c r="H586" s="155"/>
      <c r="I586" s="155"/>
      <c r="J586" s="155"/>
      <c r="K586" s="155"/>
      <c r="L586" s="155"/>
      <c r="M586" s="155"/>
    </row>
    <row r="587" spans="3:13" ht="14.1" customHeight="1">
      <c r="C587" s="159"/>
      <c r="D587" s="155"/>
      <c r="E587" s="155"/>
      <c r="F587" s="155"/>
      <c r="G587" s="155"/>
      <c r="H587" s="155"/>
      <c r="I587" s="155"/>
      <c r="J587" s="155"/>
      <c r="K587" s="155"/>
      <c r="L587" s="155"/>
      <c r="M587" s="155"/>
    </row>
    <row r="588" spans="3:13" ht="14.1" customHeight="1">
      <c r="C588" s="159"/>
      <c r="D588" s="155"/>
      <c r="E588" s="155"/>
      <c r="F588" s="155"/>
      <c r="G588" s="155"/>
      <c r="H588" s="155"/>
      <c r="I588" s="155"/>
      <c r="J588" s="155"/>
      <c r="K588" s="155"/>
      <c r="L588" s="155"/>
      <c r="M588" s="155"/>
    </row>
    <row r="589" spans="3:13" ht="14.1" customHeight="1">
      <c r="C589" s="159"/>
      <c r="D589" s="155"/>
      <c r="E589" s="155"/>
      <c r="F589" s="155"/>
      <c r="G589" s="155"/>
      <c r="H589" s="155"/>
      <c r="I589" s="155"/>
      <c r="J589" s="155"/>
      <c r="K589" s="155"/>
      <c r="L589" s="155"/>
      <c r="M589" s="155"/>
    </row>
    <row r="590" spans="3:13" ht="14.1" customHeight="1">
      <c r="C590" s="159"/>
      <c r="D590" s="155"/>
      <c r="E590" s="155"/>
      <c r="F590" s="155"/>
      <c r="G590" s="155"/>
      <c r="H590" s="155"/>
      <c r="I590" s="155"/>
      <c r="J590" s="155"/>
      <c r="K590" s="155"/>
      <c r="L590" s="155"/>
      <c r="M590" s="155"/>
    </row>
    <row r="591" spans="3:13" ht="14.1" customHeight="1">
      <c r="C591" s="159"/>
      <c r="D591" s="155"/>
      <c r="E591" s="155"/>
      <c r="F591" s="155"/>
      <c r="G591" s="155"/>
      <c r="H591" s="155"/>
      <c r="I591" s="155"/>
      <c r="J591" s="155"/>
      <c r="K591" s="155"/>
      <c r="L591" s="155"/>
      <c r="M591" s="155"/>
    </row>
    <row r="592" spans="3:13" ht="14.1" customHeight="1">
      <c r="C592" s="159"/>
      <c r="D592" s="155"/>
      <c r="E592" s="155"/>
      <c r="F592" s="155"/>
      <c r="G592" s="155"/>
      <c r="H592" s="155"/>
      <c r="I592" s="155"/>
      <c r="J592" s="155"/>
      <c r="K592" s="155"/>
      <c r="L592" s="155"/>
      <c r="M592" s="155"/>
    </row>
    <row r="593" spans="3:13" ht="14.1" customHeight="1">
      <c r="C593" s="159"/>
      <c r="D593" s="155"/>
      <c r="E593" s="155"/>
      <c r="F593" s="155"/>
      <c r="G593" s="155"/>
      <c r="H593" s="155"/>
      <c r="I593" s="155"/>
      <c r="J593" s="155"/>
      <c r="K593" s="155"/>
      <c r="L593" s="155"/>
      <c r="M593" s="155"/>
    </row>
    <row r="594" spans="3:13" ht="14.1" customHeight="1">
      <c r="C594" s="159"/>
      <c r="D594" s="155"/>
      <c r="E594" s="155"/>
      <c r="F594" s="155"/>
      <c r="G594" s="155"/>
      <c r="H594" s="155"/>
      <c r="I594" s="155"/>
      <c r="J594" s="155"/>
      <c r="K594" s="155"/>
      <c r="L594" s="155"/>
      <c r="M594" s="155"/>
    </row>
    <row r="595" spans="3:13" ht="14.1" customHeight="1">
      <c r="C595" s="159"/>
      <c r="D595" s="155"/>
      <c r="E595" s="155"/>
      <c r="F595" s="155"/>
      <c r="G595" s="155"/>
      <c r="H595" s="155"/>
      <c r="I595" s="155"/>
      <c r="J595" s="155"/>
      <c r="K595" s="155"/>
      <c r="L595" s="155"/>
      <c r="M595" s="155"/>
    </row>
    <row r="596" spans="3:13" ht="14.1" customHeight="1">
      <c r="C596" s="159"/>
      <c r="D596" s="155"/>
      <c r="E596" s="155"/>
      <c r="F596" s="155"/>
      <c r="G596" s="155"/>
      <c r="H596" s="155"/>
      <c r="I596" s="155"/>
      <c r="J596" s="155"/>
      <c r="K596" s="155"/>
      <c r="L596" s="155"/>
      <c r="M596" s="155"/>
    </row>
    <row r="597" spans="3:13" ht="14.1" customHeight="1">
      <c r="C597" s="159"/>
      <c r="D597" s="155"/>
      <c r="E597" s="155"/>
      <c r="F597" s="155"/>
      <c r="G597" s="155"/>
      <c r="H597" s="155"/>
      <c r="I597" s="155"/>
      <c r="J597" s="155"/>
      <c r="K597" s="155"/>
      <c r="L597" s="155"/>
      <c r="M597" s="155"/>
    </row>
    <row r="598" spans="3:13" ht="14.1" customHeight="1">
      <c r="C598" s="159"/>
      <c r="D598" s="155"/>
      <c r="E598" s="155"/>
      <c r="F598" s="155"/>
      <c r="G598" s="155"/>
      <c r="H598" s="155"/>
      <c r="I598" s="155"/>
      <c r="J598" s="155"/>
      <c r="K598" s="155"/>
      <c r="L598" s="155"/>
      <c r="M598" s="155"/>
    </row>
    <row r="599" spans="3:13" ht="14.1" customHeight="1">
      <c r="C599" s="159"/>
      <c r="D599" s="155"/>
      <c r="E599" s="155"/>
      <c r="F599" s="155"/>
      <c r="G599" s="155"/>
      <c r="H599" s="155"/>
      <c r="I599" s="155"/>
      <c r="J599" s="155"/>
      <c r="K599" s="155"/>
      <c r="L599" s="155"/>
      <c r="M599" s="155"/>
    </row>
    <row r="600" spans="3:13" ht="14.1" customHeight="1">
      <c r="C600" s="159"/>
      <c r="D600" s="155"/>
      <c r="E600" s="155"/>
      <c r="F600" s="155"/>
      <c r="G600" s="155"/>
      <c r="H600" s="155"/>
      <c r="I600" s="155"/>
      <c r="J600" s="155"/>
      <c r="K600" s="155"/>
      <c r="L600" s="155"/>
      <c r="M600" s="155"/>
    </row>
    <row r="601" spans="3:13" ht="14.1" customHeight="1">
      <c r="C601" s="159"/>
      <c r="D601" s="155"/>
      <c r="E601" s="155"/>
      <c r="F601" s="155"/>
      <c r="G601" s="155"/>
      <c r="H601" s="155"/>
      <c r="I601" s="155"/>
      <c r="J601" s="155"/>
      <c r="K601" s="155"/>
      <c r="L601" s="155"/>
      <c r="M601" s="155"/>
    </row>
    <row r="602" spans="3:13" ht="14.1" customHeight="1">
      <c r="C602" s="159"/>
      <c r="D602" s="155"/>
      <c r="E602" s="155"/>
      <c r="F602" s="155"/>
      <c r="G602" s="155"/>
      <c r="H602" s="155"/>
      <c r="I602" s="155"/>
      <c r="J602" s="155"/>
      <c r="K602" s="155"/>
      <c r="L602" s="155"/>
      <c r="M602" s="155"/>
    </row>
    <row r="603" spans="3:13" ht="14.1" customHeight="1">
      <c r="C603" s="159"/>
      <c r="D603" s="155"/>
      <c r="E603" s="155"/>
      <c r="F603" s="155"/>
      <c r="G603" s="155"/>
      <c r="H603" s="155"/>
      <c r="I603" s="155"/>
      <c r="J603" s="155"/>
      <c r="K603" s="155"/>
      <c r="L603" s="155"/>
      <c r="M603" s="155"/>
    </row>
    <row r="604" spans="3:13" ht="14.1" customHeight="1">
      <c r="C604" s="159"/>
      <c r="D604" s="155"/>
      <c r="E604" s="155"/>
      <c r="F604" s="155"/>
      <c r="G604" s="155"/>
      <c r="H604" s="155"/>
      <c r="I604" s="155"/>
      <c r="J604" s="155"/>
      <c r="K604" s="155"/>
      <c r="L604" s="155"/>
      <c r="M604" s="155"/>
    </row>
    <row r="605" spans="3:13" ht="14.1" customHeight="1">
      <c r="C605" s="159"/>
      <c r="D605" s="155"/>
      <c r="E605" s="155"/>
      <c r="F605" s="155"/>
      <c r="G605" s="155"/>
      <c r="H605" s="155"/>
      <c r="I605" s="155"/>
      <c r="J605" s="155"/>
      <c r="K605" s="155"/>
      <c r="L605" s="155"/>
      <c r="M605" s="155"/>
    </row>
    <row r="606" spans="3:13" ht="14.1" customHeight="1">
      <c r="C606" s="159"/>
      <c r="D606" s="155"/>
      <c r="E606" s="155"/>
      <c r="F606" s="155"/>
      <c r="G606" s="155"/>
      <c r="H606" s="155"/>
      <c r="I606" s="155"/>
      <c r="J606" s="155"/>
      <c r="K606" s="155"/>
      <c r="L606" s="155"/>
      <c r="M606" s="155"/>
    </row>
    <row r="607" spans="3:13" ht="14.1" customHeight="1">
      <c r="C607" s="159"/>
      <c r="D607" s="155"/>
      <c r="E607" s="155"/>
      <c r="F607" s="155"/>
      <c r="G607" s="155"/>
      <c r="H607" s="155"/>
      <c r="I607" s="155"/>
      <c r="J607" s="155"/>
      <c r="K607" s="155"/>
      <c r="L607" s="155"/>
      <c r="M607" s="155"/>
    </row>
    <row r="608" spans="3:13" ht="14.1" customHeight="1">
      <c r="C608" s="159"/>
      <c r="D608" s="155"/>
      <c r="E608" s="155"/>
      <c r="F608" s="155"/>
      <c r="G608" s="155"/>
      <c r="H608" s="155"/>
      <c r="I608" s="155"/>
      <c r="J608" s="155"/>
      <c r="K608" s="155"/>
      <c r="L608" s="155"/>
      <c r="M608" s="155"/>
    </row>
    <row r="609" spans="3:13" ht="14.1" customHeight="1">
      <c r="C609" s="159"/>
      <c r="D609" s="155"/>
      <c r="E609" s="155"/>
      <c r="F609" s="155"/>
      <c r="G609" s="155"/>
      <c r="H609" s="155"/>
      <c r="I609" s="155"/>
      <c r="J609" s="155"/>
      <c r="K609" s="155"/>
      <c r="L609" s="155"/>
      <c r="M609" s="155"/>
    </row>
    <row r="610" spans="3:13" ht="14.1" customHeight="1">
      <c r="C610" s="159"/>
      <c r="D610" s="155"/>
      <c r="E610" s="155"/>
      <c r="F610" s="155"/>
      <c r="G610" s="155"/>
      <c r="H610" s="155"/>
      <c r="I610" s="155"/>
      <c r="J610" s="155"/>
      <c r="K610" s="155"/>
      <c r="L610" s="155"/>
      <c r="M610" s="155"/>
    </row>
    <row r="611" spans="3:13" ht="14.1" customHeight="1">
      <c r="C611" s="159"/>
      <c r="D611" s="155"/>
      <c r="E611" s="155"/>
      <c r="F611" s="155"/>
      <c r="G611" s="155"/>
      <c r="H611" s="155"/>
      <c r="I611" s="155"/>
      <c r="J611" s="155"/>
      <c r="K611" s="155"/>
      <c r="L611" s="155"/>
      <c r="M611" s="155"/>
    </row>
    <row r="612" spans="3:13" ht="14.1" customHeight="1">
      <c r="C612" s="159"/>
      <c r="D612" s="155"/>
      <c r="E612" s="155"/>
      <c r="F612" s="155"/>
      <c r="G612" s="155"/>
      <c r="H612" s="155"/>
      <c r="I612" s="155"/>
      <c r="J612" s="155"/>
      <c r="K612" s="155"/>
      <c r="L612" s="155"/>
      <c r="M612" s="155"/>
    </row>
    <row r="613" spans="3:13" ht="14.1" customHeight="1">
      <c r="C613" s="159"/>
      <c r="D613" s="155"/>
      <c r="E613" s="155"/>
      <c r="F613" s="155"/>
      <c r="G613" s="155"/>
      <c r="H613" s="155"/>
      <c r="I613" s="155"/>
      <c r="J613" s="155"/>
      <c r="K613" s="155"/>
      <c r="L613" s="155"/>
      <c r="M613" s="155"/>
    </row>
    <row r="614" spans="3:13" ht="14.1" customHeight="1">
      <c r="C614" s="159"/>
      <c r="D614" s="155"/>
      <c r="E614" s="155"/>
      <c r="F614" s="155"/>
      <c r="G614" s="155"/>
      <c r="H614" s="155"/>
      <c r="I614" s="155"/>
      <c r="J614" s="155"/>
      <c r="K614" s="155"/>
      <c r="L614" s="155"/>
      <c r="M614" s="155"/>
    </row>
    <row r="615" spans="3:13" ht="14.1" customHeight="1">
      <c r="C615" s="159"/>
      <c r="D615" s="155"/>
      <c r="E615" s="155"/>
      <c r="F615" s="155"/>
      <c r="G615" s="155"/>
      <c r="H615" s="155"/>
      <c r="I615" s="155"/>
      <c r="J615" s="155"/>
      <c r="K615" s="155"/>
      <c r="L615" s="155"/>
      <c r="M615" s="155"/>
    </row>
    <row r="616" spans="3:13" ht="14.1" customHeight="1">
      <c r="C616" s="159"/>
      <c r="D616" s="155"/>
      <c r="E616" s="155"/>
      <c r="F616" s="155"/>
      <c r="G616" s="155"/>
      <c r="H616" s="155"/>
      <c r="I616" s="155"/>
      <c r="J616" s="155"/>
      <c r="K616" s="155"/>
      <c r="L616" s="155"/>
      <c r="M616" s="155"/>
    </row>
    <row r="617" spans="3:13" ht="14.1" customHeight="1">
      <c r="C617" s="159"/>
      <c r="D617" s="155"/>
      <c r="E617" s="155"/>
      <c r="F617" s="155"/>
      <c r="G617" s="155"/>
      <c r="H617" s="155"/>
      <c r="I617" s="155"/>
      <c r="J617" s="155"/>
      <c r="K617" s="155"/>
      <c r="L617" s="155"/>
      <c r="M617" s="155"/>
    </row>
    <row r="618" spans="3:13" ht="14.1" customHeight="1">
      <c r="C618" s="159"/>
      <c r="D618" s="155"/>
      <c r="E618" s="155"/>
      <c r="F618" s="155"/>
      <c r="G618" s="155"/>
      <c r="H618" s="155"/>
      <c r="I618" s="155"/>
      <c r="J618" s="155"/>
      <c r="K618" s="155"/>
      <c r="L618" s="155"/>
      <c r="M618" s="155"/>
    </row>
    <row r="619" spans="3:13" ht="14.1" customHeight="1">
      <c r="C619" s="159"/>
      <c r="D619" s="155"/>
      <c r="E619" s="155"/>
      <c r="F619" s="155"/>
      <c r="G619" s="155"/>
      <c r="H619" s="155"/>
      <c r="I619" s="155"/>
      <c r="J619" s="155"/>
      <c r="K619" s="155"/>
      <c r="L619" s="155"/>
      <c r="M619" s="155"/>
    </row>
    <row r="620" spans="3:13" ht="14.1" customHeight="1">
      <c r="C620" s="159"/>
      <c r="D620" s="155"/>
      <c r="E620" s="155"/>
      <c r="F620" s="155"/>
      <c r="G620" s="155"/>
      <c r="H620" s="155"/>
      <c r="I620" s="155"/>
      <c r="J620" s="155"/>
      <c r="K620" s="155"/>
      <c r="L620" s="155"/>
      <c r="M620" s="155"/>
    </row>
    <row r="621" spans="3:13" ht="14.1" customHeight="1">
      <c r="C621" s="159"/>
      <c r="D621" s="155"/>
      <c r="E621" s="155"/>
      <c r="F621" s="155"/>
      <c r="G621" s="155"/>
      <c r="H621" s="155"/>
      <c r="I621" s="155"/>
      <c r="J621" s="155"/>
      <c r="K621" s="155"/>
      <c r="L621" s="155"/>
      <c r="M621" s="155"/>
    </row>
    <row r="622" spans="3:13" ht="14.1" customHeight="1">
      <c r="C622" s="159"/>
      <c r="D622" s="155"/>
      <c r="E622" s="155"/>
      <c r="F622" s="155"/>
      <c r="G622" s="155"/>
      <c r="H622" s="155"/>
      <c r="I622" s="155"/>
      <c r="J622" s="155"/>
      <c r="K622" s="155"/>
      <c r="L622" s="155"/>
      <c r="M622" s="155"/>
    </row>
    <row r="623" spans="3:13" ht="14.1" customHeight="1">
      <c r="C623" s="159"/>
      <c r="D623" s="155"/>
      <c r="E623" s="155"/>
      <c r="F623" s="155"/>
      <c r="G623" s="155"/>
      <c r="H623" s="155"/>
      <c r="I623" s="155"/>
      <c r="J623" s="155"/>
      <c r="K623" s="155"/>
      <c r="L623" s="155"/>
      <c r="M623" s="155"/>
    </row>
    <row r="624" spans="3:13" ht="14.1" customHeight="1">
      <c r="C624" s="159"/>
      <c r="D624" s="155"/>
      <c r="E624" s="155"/>
      <c r="F624" s="155"/>
      <c r="G624" s="155"/>
      <c r="H624" s="155"/>
      <c r="I624" s="155"/>
      <c r="J624" s="155"/>
      <c r="K624" s="155"/>
      <c r="L624" s="155"/>
      <c r="M624" s="155"/>
    </row>
    <row r="625" spans="3:13" ht="14.1" customHeight="1">
      <c r="C625" s="159"/>
      <c r="D625" s="155"/>
      <c r="E625" s="155"/>
      <c r="F625" s="155"/>
      <c r="G625" s="155"/>
      <c r="H625" s="155"/>
      <c r="I625" s="155"/>
      <c r="J625" s="155"/>
      <c r="K625" s="155"/>
      <c r="L625" s="155"/>
      <c r="M625" s="155"/>
    </row>
    <row r="626" spans="3:13" ht="14.1" customHeight="1">
      <c r="C626" s="159"/>
      <c r="D626" s="155"/>
      <c r="E626" s="155"/>
      <c r="F626" s="155"/>
      <c r="G626" s="155"/>
      <c r="H626" s="155"/>
      <c r="I626" s="155"/>
      <c r="J626" s="155"/>
      <c r="K626" s="155"/>
      <c r="L626" s="155"/>
      <c r="M626" s="155"/>
    </row>
    <row r="627" spans="3:13" ht="14.1" customHeight="1">
      <c r="C627" s="159"/>
      <c r="D627" s="155"/>
      <c r="E627" s="155"/>
      <c r="F627" s="155"/>
      <c r="G627" s="155"/>
      <c r="H627" s="155"/>
      <c r="I627" s="155"/>
      <c r="J627" s="155"/>
      <c r="K627" s="155"/>
      <c r="L627" s="155"/>
      <c r="M627" s="155"/>
    </row>
    <row r="628" spans="3:13" ht="14.1" customHeight="1">
      <c r="C628" s="159"/>
      <c r="D628" s="155"/>
      <c r="E628" s="155"/>
      <c r="F628" s="155"/>
      <c r="G628" s="155"/>
      <c r="H628" s="155"/>
      <c r="I628" s="155"/>
      <c r="J628" s="155"/>
      <c r="K628" s="155"/>
      <c r="L628" s="155"/>
      <c r="M628" s="155"/>
    </row>
    <row r="629" spans="3:13" ht="14.1" customHeight="1">
      <c r="C629" s="159"/>
      <c r="D629" s="155"/>
      <c r="E629" s="155"/>
      <c r="F629" s="155"/>
      <c r="G629" s="155"/>
      <c r="H629" s="155"/>
      <c r="I629" s="155"/>
      <c r="J629" s="155"/>
      <c r="K629" s="155"/>
      <c r="L629" s="155"/>
      <c r="M629" s="155"/>
    </row>
    <row r="630" spans="3:13" ht="14.1" customHeight="1">
      <c r="C630" s="159"/>
      <c r="D630" s="155"/>
      <c r="E630" s="155"/>
      <c r="F630" s="155"/>
      <c r="G630" s="155"/>
      <c r="H630" s="155"/>
      <c r="I630" s="155"/>
      <c r="J630" s="155"/>
      <c r="K630" s="155"/>
      <c r="L630" s="155"/>
      <c r="M630" s="155"/>
    </row>
    <row r="631" spans="3:13" ht="14.1" customHeight="1">
      <c r="C631" s="159"/>
      <c r="D631" s="155"/>
      <c r="E631" s="155"/>
      <c r="F631" s="155"/>
      <c r="G631" s="155"/>
      <c r="H631" s="155"/>
      <c r="I631" s="155"/>
      <c r="J631" s="155"/>
      <c r="K631" s="155"/>
      <c r="L631" s="155"/>
      <c r="M631" s="155"/>
    </row>
    <row r="632" spans="3:13" ht="14.1" customHeight="1">
      <c r="C632" s="159"/>
      <c r="D632" s="155"/>
      <c r="E632" s="155"/>
      <c r="F632" s="155"/>
      <c r="G632" s="155"/>
      <c r="H632" s="155"/>
      <c r="I632" s="155"/>
      <c r="J632" s="155"/>
      <c r="K632" s="155"/>
      <c r="L632" s="155"/>
      <c r="M632" s="155"/>
    </row>
    <row r="633" spans="3:13" ht="14.1" customHeight="1">
      <c r="C633" s="159"/>
      <c r="D633" s="155"/>
      <c r="E633" s="155"/>
      <c r="F633" s="155"/>
      <c r="G633" s="155"/>
      <c r="H633" s="155"/>
      <c r="I633" s="155"/>
      <c r="J633" s="155"/>
      <c r="K633" s="155"/>
      <c r="L633" s="155"/>
      <c r="M633" s="155"/>
    </row>
    <row r="634" spans="3:13" ht="14.1" customHeight="1">
      <c r="C634" s="159"/>
      <c r="D634" s="155"/>
      <c r="E634" s="155"/>
      <c r="F634" s="155"/>
      <c r="G634" s="155"/>
      <c r="H634" s="155"/>
      <c r="I634" s="155"/>
      <c r="J634" s="155"/>
      <c r="K634" s="155"/>
      <c r="L634" s="155"/>
      <c r="M634" s="155"/>
    </row>
    <row r="635" spans="3:13" ht="14.1" customHeight="1">
      <c r="C635" s="159"/>
      <c r="D635" s="155"/>
      <c r="E635" s="155"/>
      <c r="F635" s="155"/>
      <c r="G635" s="155"/>
      <c r="H635" s="155"/>
      <c r="I635" s="155"/>
      <c r="J635" s="155"/>
      <c r="K635" s="155"/>
      <c r="L635" s="155"/>
      <c r="M635" s="155"/>
    </row>
    <row r="636" spans="3:13" ht="14.1" customHeight="1">
      <c r="C636" s="159"/>
      <c r="D636" s="155"/>
      <c r="E636" s="155"/>
      <c r="F636" s="155"/>
      <c r="G636" s="155"/>
      <c r="H636" s="155"/>
      <c r="I636" s="155"/>
      <c r="J636" s="155"/>
      <c r="K636" s="155"/>
      <c r="L636" s="155"/>
      <c r="M636" s="155"/>
    </row>
    <row r="637" spans="3:13" ht="14.1" customHeight="1">
      <c r="C637" s="159"/>
      <c r="D637" s="155"/>
      <c r="E637" s="155"/>
      <c r="F637" s="155"/>
      <c r="G637" s="155"/>
      <c r="H637" s="155"/>
      <c r="I637" s="155"/>
      <c r="J637" s="155"/>
      <c r="K637" s="155"/>
      <c r="L637" s="155"/>
      <c r="M637" s="155"/>
    </row>
    <row r="638" spans="3:13" ht="14.1" customHeight="1">
      <c r="C638" s="159"/>
      <c r="D638" s="155"/>
      <c r="E638" s="155"/>
      <c r="F638" s="155"/>
      <c r="G638" s="155"/>
      <c r="H638" s="155"/>
      <c r="I638" s="155"/>
      <c r="J638" s="155"/>
      <c r="K638" s="155"/>
      <c r="L638" s="155"/>
      <c r="M638" s="155"/>
    </row>
    <row r="639" spans="3:13" ht="14.1" customHeight="1">
      <c r="C639" s="159"/>
      <c r="D639" s="155"/>
      <c r="E639" s="155"/>
      <c r="F639" s="155"/>
      <c r="G639" s="155"/>
      <c r="H639" s="155"/>
      <c r="I639" s="155"/>
      <c r="J639" s="155"/>
      <c r="K639" s="155"/>
      <c r="L639" s="155"/>
      <c r="M639" s="155"/>
    </row>
    <row r="640" spans="3:13" ht="14.1" customHeight="1">
      <c r="C640" s="159"/>
      <c r="D640" s="155"/>
      <c r="E640" s="155"/>
      <c r="F640" s="155"/>
      <c r="G640" s="155"/>
      <c r="H640" s="155"/>
      <c r="I640" s="155"/>
      <c r="J640" s="155"/>
      <c r="K640" s="155"/>
      <c r="L640" s="155"/>
      <c r="M640" s="155"/>
    </row>
    <row r="641" spans="3:13" ht="14.1" customHeight="1">
      <c r="C641" s="159"/>
      <c r="D641" s="155"/>
      <c r="E641" s="155"/>
      <c r="F641" s="155"/>
      <c r="G641" s="155"/>
      <c r="H641" s="155"/>
      <c r="I641" s="155"/>
      <c r="J641" s="155"/>
      <c r="K641" s="155"/>
      <c r="L641" s="155"/>
      <c r="M641" s="155"/>
    </row>
    <row r="642" spans="3:13" ht="14.1" customHeight="1">
      <c r="C642" s="159"/>
      <c r="D642" s="155"/>
      <c r="E642" s="155"/>
      <c r="F642" s="155"/>
      <c r="G642" s="155"/>
      <c r="H642" s="155"/>
      <c r="I642" s="155"/>
      <c r="J642" s="155"/>
      <c r="K642" s="155"/>
      <c r="L642" s="155"/>
      <c r="M642" s="155"/>
    </row>
    <row r="643" spans="3:13" ht="14.1" customHeight="1">
      <c r="C643" s="159"/>
      <c r="D643" s="155"/>
      <c r="E643" s="155"/>
      <c r="F643" s="155"/>
      <c r="G643" s="155"/>
      <c r="H643" s="155"/>
      <c r="I643" s="155"/>
      <c r="J643" s="155"/>
      <c r="K643" s="155"/>
      <c r="L643" s="155"/>
      <c r="M643" s="155"/>
    </row>
    <row r="644" spans="3:13" ht="14.1" customHeight="1">
      <c r="C644" s="159"/>
      <c r="D644" s="155"/>
      <c r="E644" s="155"/>
      <c r="F644" s="155"/>
      <c r="G644" s="155"/>
      <c r="H644" s="155"/>
      <c r="I644" s="155"/>
      <c r="J644" s="155"/>
      <c r="K644" s="155"/>
      <c r="L644" s="155"/>
      <c r="M644" s="155"/>
    </row>
    <row r="645" spans="3:13" ht="14.1" customHeight="1">
      <c r="C645" s="159"/>
      <c r="D645" s="155"/>
      <c r="E645" s="155"/>
      <c r="F645" s="155"/>
      <c r="G645" s="155"/>
      <c r="H645" s="155"/>
      <c r="I645" s="155"/>
      <c r="J645" s="155"/>
      <c r="K645" s="155"/>
      <c r="L645" s="155"/>
      <c r="M645" s="155"/>
    </row>
    <row r="646" spans="3:13" ht="14.1" customHeight="1">
      <c r="C646" s="159"/>
      <c r="D646" s="155"/>
      <c r="E646" s="155"/>
      <c r="F646" s="155"/>
      <c r="G646" s="155"/>
      <c r="H646" s="155"/>
      <c r="I646" s="155"/>
      <c r="J646" s="155"/>
      <c r="K646" s="155"/>
      <c r="L646" s="155"/>
      <c r="M646" s="155"/>
    </row>
    <row r="647" spans="3:13" ht="14.1" customHeight="1">
      <c r="C647" s="159"/>
      <c r="D647" s="155"/>
      <c r="E647" s="155"/>
      <c r="F647" s="155"/>
      <c r="G647" s="155"/>
      <c r="H647" s="155"/>
      <c r="I647" s="155"/>
      <c r="J647" s="155"/>
      <c r="K647" s="155"/>
      <c r="L647" s="155"/>
      <c r="M647" s="155"/>
    </row>
    <row r="648" spans="3:13" ht="14.1" customHeight="1">
      <c r="C648" s="159"/>
      <c r="D648" s="155"/>
      <c r="E648" s="155"/>
      <c r="F648" s="155"/>
      <c r="G648" s="155"/>
      <c r="H648" s="155"/>
      <c r="I648" s="155"/>
      <c r="J648" s="155"/>
      <c r="K648" s="155"/>
      <c r="L648" s="155"/>
      <c r="M648" s="155"/>
    </row>
    <row r="649" spans="3:13" ht="14.1" customHeight="1">
      <c r="C649" s="159"/>
      <c r="D649" s="155"/>
      <c r="E649" s="155"/>
      <c r="F649" s="155"/>
      <c r="G649" s="155"/>
      <c r="H649" s="155"/>
      <c r="I649" s="155"/>
      <c r="J649" s="155"/>
      <c r="K649" s="155"/>
      <c r="L649" s="155"/>
      <c r="M649" s="155"/>
    </row>
    <row r="650" spans="3:13" ht="14.1" customHeight="1">
      <c r="C650" s="159"/>
      <c r="D650" s="155"/>
      <c r="E650" s="155"/>
      <c r="F650" s="155"/>
      <c r="G650" s="155"/>
      <c r="H650" s="155"/>
      <c r="I650" s="155"/>
      <c r="J650" s="155"/>
      <c r="K650" s="155"/>
      <c r="L650" s="155"/>
      <c r="M650" s="155"/>
    </row>
    <row r="651" spans="3:13" ht="14.1" customHeight="1">
      <c r="C651" s="159"/>
      <c r="D651" s="155"/>
      <c r="E651" s="155"/>
      <c r="F651" s="155"/>
      <c r="G651" s="155"/>
      <c r="H651" s="155"/>
      <c r="I651" s="155"/>
      <c r="J651" s="155"/>
      <c r="K651" s="155"/>
      <c r="L651" s="155"/>
      <c r="M651" s="155"/>
    </row>
    <row r="652" spans="3:13" ht="14.1" customHeight="1">
      <c r="C652" s="159"/>
      <c r="D652" s="155"/>
      <c r="E652" s="155"/>
      <c r="F652" s="155"/>
      <c r="G652" s="155"/>
      <c r="H652" s="155"/>
      <c r="I652" s="155"/>
      <c r="J652" s="155"/>
      <c r="K652" s="155"/>
      <c r="L652" s="155"/>
      <c r="M652" s="155"/>
    </row>
    <row r="653" spans="3:13" ht="14.1" customHeight="1">
      <c r="C653" s="159"/>
      <c r="D653" s="155"/>
      <c r="E653" s="155"/>
      <c r="F653" s="155"/>
      <c r="G653" s="155"/>
      <c r="H653" s="155"/>
      <c r="I653" s="155"/>
      <c r="J653" s="155"/>
      <c r="K653" s="155"/>
      <c r="L653" s="155"/>
      <c r="M653" s="155"/>
    </row>
    <row r="654" spans="3:13" ht="14.1" customHeight="1">
      <c r="C654" s="159"/>
      <c r="D654" s="155"/>
      <c r="E654" s="155"/>
      <c r="F654" s="155"/>
      <c r="G654" s="155"/>
      <c r="H654" s="155"/>
      <c r="I654" s="155"/>
      <c r="J654" s="155"/>
      <c r="K654" s="155"/>
      <c r="L654" s="155"/>
      <c r="M654" s="155"/>
    </row>
    <row r="655" spans="3:13" ht="14.1" customHeight="1">
      <c r="C655" s="159"/>
      <c r="D655" s="155"/>
      <c r="E655" s="155"/>
      <c r="F655" s="155"/>
      <c r="G655" s="155"/>
      <c r="H655" s="155"/>
      <c r="I655" s="155"/>
      <c r="J655" s="155"/>
      <c r="K655" s="155"/>
      <c r="L655" s="155"/>
      <c r="M655" s="155"/>
    </row>
    <row r="656" spans="3:13" ht="14.1" customHeight="1">
      <c r="C656" s="159"/>
      <c r="D656" s="155"/>
      <c r="E656" s="155"/>
      <c r="F656" s="155"/>
      <c r="G656" s="155"/>
      <c r="H656" s="155"/>
      <c r="I656" s="155"/>
      <c r="J656" s="155"/>
      <c r="K656" s="155"/>
      <c r="L656" s="155"/>
      <c r="M656" s="155"/>
    </row>
    <row r="657" spans="3:13" ht="14.1" customHeight="1">
      <c r="C657" s="159"/>
      <c r="D657" s="155"/>
      <c r="E657" s="155"/>
      <c r="F657" s="155"/>
      <c r="G657" s="155"/>
      <c r="H657" s="155"/>
      <c r="I657" s="155"/>
      <c r="J657" s="155"/>
      <c r="K657" s="155"/>
      <c r="L657" s="155"/>
      <c r="M657" s="155"/>
    </row>
    <row r="658" spans="3:13" ht="14.1" customHeight="1">
      <c r="C658" s="159"/>
      <c r="D658" s="155"/>
      <c r="E658" s="155"/>
      <c r="F658" s="155"/>
      <c r="G658" s="155"/>
      <c r="H658" s="155"/>
      <c r="I658" s="155"/>
      <c r="J658" s="155"/>
      <c r="K658" s="155"/>
      <c r="L658" s="155"/>
      <c r="M658" s="155"/>
    </row>
    <row r="659" spans="3:13" ht="14.1" customHeight="1">
      <c r="C659" s="159"/>
      <c r="D659" s="155"/>
      <c r="E659" s="155"/>
      <c r="F659" s="155"/>
      <c r="G659" s="155"/>
      <c r="H659" s="155"/>
      <c r="I659" s="155"/>
      <c r="J659" s="155"/>
      <c r="K659" s="155"/>
      <c r="L659" s="155"/>
      <c r="M659" s="155"/>
    </row>
    <row r="660" spans="3:13" ht="14.1" customHeight="1">
      <c r="C660" s="159"/>
      <c r="D660" s="155"/>
      <c r="E660" s="155"/>
      <c r="F660" s="155"/>
      <c r="G660" s="155"/>
      <c r="H660" s="155"/>
      <c r="I660" s="155"/>
      <c r="J660" s="155"/>
      <c r="K660" s="155"/>
      <c r="L660" s="155"/>
      <c r="M660" s="155"/>
    </row>
    <row r="661" spans="3:13" ht="14.1" customHeight="1">
      <c r="C661" s="159"/>
      <c r="D661" s="155"/>
      <c r="E661" s="155"/>
      <c r="F661" s="155"/>
      <c r="G661" s="155"/>
      <c r="H661" s="155"/>
      <c r="I661" s="155"/>
      <c r="J661" s="155"/>
      <c r="K661" s="155"/>
      <c r="L661" s="155"/>
      <c r="M661" s="155"/>
    </row>
    <row r="662" spans="3:13" ht="14.1" customHeight="1">
      <c r="C662" s="159"/>
      <c r="D662" s="155"/>
      <c r="E662" s="155"/>
      <c r="F662" s="155"/>
      <c r="G662" s="155"/>
      <c r="H662" s="155"/>
      <c r="I662" s="155"/>
      <c r="J662" s="155"/>
      <c r="K662" s="155"/>
      <c r="L662" s="155"/>
      <c r="M662" s="155"/>
    </row>
    <row r="663" spans="3:13" ht="14.1" customHeight="1">
      <c r="C663" s="159"/>
      <c r="D663" s="155"/>
      <c r="E663" s="155"/>
      <c r="F663" s="155"/>
      <c r="G663" s="155"/>
      <c r="H663" s="155"/>
      <c r="I663" s="155"/>
      <c r="J663" s="155"/>
      <c r="K663" s="155"/>
      <c r="L663" s="155"/>
      <c r="M663" s="155"/>
    </row>
    <row r="664" spans="3:13" ht="14.1" customHeight="1">
      <c r="C664" s="159"/>
      <c r="D664" s="155"/>
      <c r="E664" s="155"/>
      <c r="F664" s="155"/>
      <c r="G664" s="155"/>
      <c r="H664" s="155"/>
      <c r="I664" s="155"/>
      <c r="J664" s="155"/>
      <c r="K664" s="155"/>
      <c r="L664" s="155"/>
      <c r="M664" s="155"/>
    </row>
    <row r="665" spans="3:13" ht="14.1" customHeight="1">
      <c r="C665" s="159"/>
      <c r="D665" s="155"/>
      <c r="E665" s="155"/>
      <c r="F665" s="155"/>
      <c r="G665" s="155"/>
      <c r="H665" s="155"/>
      <c r="I665" s="155"/>
      <c r="J665" s="155"/>
      <c r="K665" s="155"/>
      <c r="L665" s="155"/>
      <c r="M665" s="155"/>
    </row>
    <row r="666" spans="3:13" ht="14.1" customHeight="1">
      <c r="C666" s="159"/>
      <c r="D666" s="155"/>
      <c r="E666" s="155"/>
      <c r="F666" s="155"/>
      <c r="G666" s="155"/>
      <c r="H666" s="155"/>
      <c r="I666" s="155"/>
      <c r="J666" s="155"/>
      <c r="K666" s="155"/>
      <c r="L666" s="155"/>
      <c r="M666" s="155"/>
    </row>
    <row r="667" spans="3:13" ht="14.1" customHeight="1">
      <c r="C667" s="159"/>
      <c r="D667" s="155"/>
      <c r="E667" s="155"/>
      <c r="F667" s="155"/>
      <c r="G667" s="155"/>
      <c r="H667" s="155"/>
      <c r="I667" s="155"/>
      <c r="J667" s="155"/>
      <c r="K667" s="155"/>
      <c r="L667" s="155"/>
      <c r="M667" s="155"/>
    </row>
    <row r="668" spans="3:13" ht="14.1" customHeight="1">
      <c r="C668" s="159"/>
      <c r="D668" s="155"/>
      <c r="E668" s="155"/>
      <c r="F668" s="155"/>
      <c r="G668" s="155"/>
      <c r="H668" s="155"/>
      <c r="I668" s="155"/>
      <c r="J668" s="155"/>
      <c r="K668" s="155"/>
      <c r="L668" s="155"/>
      <c r="M668" s="155"/>
    </row>
    <row r="669" spans="3:13" ht="14.1" customHeight="1">
      <c r="C669" s="159"/>
      <c r="D669" s="155"/>
      <c r="E669" s="155"/>
      <c r="F669" s="155"/>
      <c r="G669" s="155"/>
      <c r="H669" s="155"/>
      <c r="I669" s="155"/>
      <c r="J669" s="155"/>
      <c r="K669" s="155"/>
      <c r="L669" s="155"/>
      <c r="M669" s="155"/>
    </row>
    <row r="670" spans="3:13" ht="14.1" customHeight="1">
      <c r="C670" s="159"/>
      <c r="D670" s="155"/>
      <c r="E670" s="155"/>
      <c r="F670" s="155"/>
      <c r="G670" s="155"/>
      <c r="H670" s="155"/>
      <c r="I670" s="155"/>
      <c r="J670" s="155"/>
      <c r="K670" s="155"/>
      <c r="L670" s="155"/>
      <c r="M670" s="155"/>
    </row>
    <row r="671" spans="3:13" ht="14.1" customHeight="1">
      <c r="C671" s="159"/>
      <c r="D671" s="155"/>
      <c r="E671" s="155"/>
      <c r="F671" s="155"/>
      <c r="G671" s="155"/>
      <c r="H671" s="155"/>
      <c r="I671" s="155"/>
      <c r="J671" s="155"/>
      <c r="K671" s="155"/>
      <c r="L671" s="155"/>
      <c r="M671" s="155"/>
    </row>
    <row r="672" spans="3:13" ht="14.1" customHeight="1">
      <c r="C672" s="159"/>
      <c r="D672" s="155"/>
      <c r="E672" s="155"/>
      <c r="F672" s="155"/>
      <c r="G672" s="155"/>
      <c r="H672" s="155"/>
      <c r="I672" s="155"/>
      <c r="J672" s="155"/>
      <c r="K672" s="155"/>
      <c r="L672" s="155"/>
      <c r="M672" s="155"/>
    </row>
    <row r="673" spans="3:13" ht="14.1" customHeight="1">
      <c r="C673" s="159"/>
      <c r="D673" s="155"/>
      <c r="E673" s="155"/>
      <c r="F673" s="155"/>
      <c r="G673" s="155"/>
      <c r="H673" s="155"/>
      <c r="I673" s="155"/>
      <c r="J673" s="155"/>
      <c r="K673" s="155"/>
      <c r="L673" s="155"/>
      <c r="M673" s="155"/>
    </row>
    <row r="674" spans="3:13" ht="14.1" customHeight="1">
      <c r="C674" s="159"/>
      <c r="D674" s="155"/>
      <c r="E674" s="155"/>
      <c r="F674" s="155"/>
      <c r="G674" s="155"/>
      <c r="H674" s="155"/>
      <c r="I674" s="155"/>
      <c r="J674" s="155"/>
      <c r="K674" s="155"/>
      <c r="L674" s="155"/>
      <c r="M674" s="155"/>
    </row>
    <row r="675" spans="3:13" ht="14.1" customHeight="1">
      <c r="C675" s="159"/>
      <c r="D675" s="155"/>
      <c r="E675" s="155"/>
      <c r="F675" s="155"/>
      <c r="G675" s="155"/>
      <c r="H675" s="155"/>
      <c r="I675" s="155"/>
      <c r="J675" s="155"/>
      <c r="K675" s="155"/>
      <c r="L675" s="155"/>
      <c r="M675" s="155"/>
    </row>
    <row r="676" spans="3:13" ht="14.1" customHeight="1">
      <c r="C676" s="159"/>
      <c r="D676" s="155"/>
      <c r="E676" s="155"/>
      <c r="F676" s="155"/>
      <c r="G676" s="155"/>
      <c r="H676" s="155"/>
      <c r="I676" s="155"/>
      <c r="J676" s="155"/>
      <c r="K676" s="155"/>
      <c r="L676" s="155"/>
      <c r="M676" s="155"/>
    </row>
    <row r="677" spans="3:13" ht="14.1" customHeight="1">
      <c r="C677" s="159"/>
      <c r="D677" s="155"/>
      <c r="E677" s="155"/>
      <c r="F677" s="155"/>
      <c r="G677" s="155"/>
      <c r="H677" s="155"/>
      <c r="I677" s="155"/>
      <c r="J677" s="155"/>
      <c r="K677" s="155"/>
      <c r="L677" s="155"/>
      <c r="M677" s="155"/>
    </row>
    <row r="678" spans="3:13" ht="14.1" customHeight="1">
      <c r="C678" s="159"/>
      <c r="D678" s="155"/>
      <c r="E678" s="155"/>
      <c r="F678" s="155"/>
      <c r="G678" s="155"/>
      <c r="H678" s="155"/>
      <c r="I678" s="155"/>
      <c r="J678" s="155"/>
      <c r="K678" s="155"/>
      <c r="L678" s="155"/>
      <c r="M678" s="155"/>
    </row>
    <row r="679" spans="3:13" ht="14.1" customHeight="1">
      <c r="C679" s="159"/>
      <c r="D679" s="155"/>
      <c r="E679" s="155"/>
      <c r="F679" s="155"/>
      <c r="G679" s="155"/>
      <c r="H679" s="155"/>
      <c r="I679" s="155"/>
      <c r="J679" s="155"/>
      <c r="K679" s="155"/>
      <c r="L679" s="155"/>
      <c r="M679" s="155"/>
    </row>
    <row r="680" spans="3:13" ht="14.1" customHeight="1">
      <c r="C680" s="159"/>
      <c r="D680" s="155"/>
      <c r="E680" s="155"/>
      <c r="F680" s="155"/>
      <c r="G680" s="155"/>
      <c r="H680" s="155"/>
      <c r="I680" s="155"/>
      <c r="J680" s="155"/>
      <c r="K680" s="155"/>
      <c r="L680" s="155"/>
      <c r="M680" s="155"/>
    </row>
    <row r="681" spans="3:13" ht="14.1" customHeight="1">
      <c r="C681" s="159"/>
      <c r="D681" s="155"/>
      <c r="E681" s="155"/>
      <c r="F681" s="155"/>
      <c r="G681" s="155"/>
      <c r="H681" s="155"/>
      <c r="I681" s="155"/>
      <c r="J681" s="155"/>
      <c r="K681" s="155"/>
      <c r="L681" s="155"/>
      <c r="M681" s="155"/>
    </row>
    <row r="682" spans="3:13" ht="14.1" customHeight="1">
      <c r="C682" s="159"/>
      <c r="D682" s="155"/>
      <c r="E682" s="155"/>
      <c r="F682" s="155"/>
      <c r="G682" s="155"/>
      <c r="H682" s="155"/>
      <c r="I682" s="155"/>
      <c r="J682" s="155"/>
      <c r="K682" s="155"/>
      <c r="L682" s="155"/>
      <c r="M682" s="155"/>
    </row>
    <row r="683" spans="3:13" ht="14.1" customHeight="1">
      <c r="C683" s="159"/>
      <c r="D683" s="155"/>
      <c r="E683" s="155"/>
      <c r="F683" s="155"/>
      <c r="G683" s="155"/>
      <c r="H683" s="155"/>
      <c r="I683" s="155"/>
      <c r="J683" s="155"/>
      <c r="K683" s="155"/>
      <c r="L683" s="155"/>
      <c r="M683" s="155"/>
    </row>
    <row r="684" spans="3:13" ht="14.1" customHeight="1">
      <c r="C684" s="159"/>
      <c r="D684" s="155"/>
      <c r="E684" s="155"/>
      <c r="F684" s="155"/>
      <c r="G684" s="155"/>
      <c r="H684" s="155"/>
      <c r="I684" s="155"/>
      <c r="J684" s="155"/>
      <c r="K684" s="155"/>
      <c r="L684" s="155"/>
      <c r="M684" s="155"/>
    </row>
    <row r="685" spans="3:13" ht="14.1" customHeight="1">
      <c r="C685" s="159"/>
      <c r="D685" s="155"/>
      <c r="E685" s="155"/>
      <c r="F685" s="155"/>
      <c r="G685" s="155"/>
      <c r="H685" s="155"/>
      <c r="I685" s="155"/>
      <c r="J685" s="155"/>
      <c r="K685" s="155"/>
      <c r="L685" s="155"/>
      <c r="M685" s="155"/>
    </row>
    <row r="686" spans="3:13" ht="14.1" customHeight="1">
      <c r="C686" s="159"/>
      <c r="D686" s="155"/>
      <c r="E686" s="155"/>
      <c r="F686" s="155"/>
      <c r="G686" s="155"/>
      <c r="H686" s="155"/>
      <c r="I686" s="155"/>
      <c r="J686" s="155"/>
      <c r="K686" s="155"/>
      <c r="L686" s="155"/>
      <c r="M686" s="155"/>
    </row>
    <row r="687" spans="3:13" ht="14.1" customHeight="1">
      <c r="C687" s="159"/>
      <c r="D687" s="155"/>
      <c r="E687" s="155"/>
      <c r="F687" s="155"/>
      <c r="G687" s="155"/>
      <c r="H687" s="155"/>
      <c r="I687" s="155"/>
      <c r="J687" s="155"/>
      <c r="K687" s="155"/>
      <c r="L687" s="155"/>
      <c r="M687" s="155"/>
    </row>
    <row r="688" spans="3:13" ht="14.1" customHeight="1">
      <c r="C688" s="159"/>
      <c r="D688" s="155"/>
      <c r="E688" s="155"/>
      <c r="F688" s="155"/>
      <c r="G688" s="155"/>
      <c r="H688" s="155"/>
      <c r="I688" s="155"/>
      <c r="J688" s="155"/>
      <c r="K688" s="155"/>
      <c r="L688" s="155"/>
      <c r="M688" s="155"/>
    </row>
    <row r="689" spans="3:13" ht="14.1" customHeight="1">
      <c r="C689" s="159"/>
      <c r="D689" s="155"/>
      <c r="E689" s="155"/>
      <c r="F689" s="155"/>
      <c r="G689" s="155"/>
      <c r="H689" s="155"/>
      <c r="I689" s="155"/>
      <c r="J689" s="155"/>
      <c r="K689" s="155"/>
      <c r="L689" s="155"/>
      <c r="M689" s="155"/>
    </row>
    <row r="690" spans="3:13" ht="14.1" customHeight="1">
      <c r="C690" s="159"/>
      <c r="D690" s="155"/>
      <c r="E690" s="155"/>
      <c r="F690" s="155"/>
      <c r="G690" s="155"/>
      <c r="H690" s="155"/>
      <c r="I690" s="155"/>
      <c r="J690" s="155"/>
      <c r="K690" s="155"/>
      <c r="L690" s="155"/>
      <c r="M690" s="155"/>
    </row>
    <row r="691" spans="3:13" ht="14.1" customHeight="1">
      <c r="C691" s="159"/>
      <c r="D691" s="155"/>
      <c r="E691" s="155"/>
      <c r="F691" s="155"/>
      <c r="G691" s="155"/>
      <c r="H691" s="155"/>
      <c r="I691" s="155"/>
      <c r="J691" s="155"/>
      <c r="K691" s="155"/>
      <c r="L691" s="155"/>
      <c r="M691" s="155"/>
    </row>
    <row r="692" spans="3:13" ht="14.1" customHeight="1">
      <c r="C692" s="159"/>
      <c r="D692" s="155"/>
      <c r="E692" s="155"/>
      <c r="F692" s="155"/>
      <c r="G692" s="155"/>
      <c r="H692" s="155"/>
      <c r="I692" s="155"/>
      <c r="J692" s="155"/>
      <c r="K692" s="155"/>
      <c r="L692" s="155"/>
      <c r="M692" s="155"/>
    </row>
    <row r="693" spans="3:13" ht="14.1" customHeight="1">
      <c r="C693" s="159"/>
      <c r="D693" s="155"/>
      <c r="E693" s="155"/>
      <c r="F693" s="155"/>
      <c r="G693" s="155"/>
      <c r="H693" s="155"/>
      <c r="I693" s="155"/>
      <c r="J693" s="155"/>
      <c r="K693" s="155"/>
      <c r="L693" s="155"/>
      <c r="M693" s="155"/>
    </row>
    <row r="694" spans="3:13" ht="14.1" customHeight="1">
      <c r="C694" s="159"/>
      <c r="D694" s="155"/>
      <c r="E694" s="155"/>
      <c r="F694" s="155"/>
      <c r="G694" s="155"/>
      <c r="H694" s="155"/>
      <c r="I694" s="155"/>
      <c r="J694" s="155"/>
      <c r="K694" s="155"/>
      <c r="L694" s="155"/>
      <c r="M694" s="155"/>
    </row>
    <row r="695" spans="3:13" ht="14.1" customHeight="1">
      <c r="C695" s="159"/>
      <c r="D695" s="155"/>
      <c r="E695" s="155"/>
      <c r="F695" s="155"/>
      <c r="G695" s="155"/>
      <c r="H695" s="155"/>
      <c r="I695" s="155"/>
      <c r="J695" s="155"/>
      <c r="K695" s="155"/>
      <c r="L695" s="155"/>
      <c r="M695" s="155"/>
    </row>
    <row r="696" spans="3:13" ht="14.1" customHeight="1">
      <c r="C696" s="159"/>
      <c r="D696" s="155"/>
      <c r="E696" s="155"/>
      <c r="F696" s="155"/>
      <c r="G696" s="155"/>
      <c r="H696" s="155"/>
      <c r="I696" s="155"/>
      <c r="J696" s="155"/>
      <c r="K696" s="155"/>
      <c r="L696" s="155"/>
      <c r="M696" s="155"/>
    </row>
    <row r="697" spans="3:13" ht="14.1" customHeight="1">
      <c r="C697" s="159"/>
      <c r="D697" s="155"/>
      <c r="E697" s="155"/>
      <c r="F697" s="155"/>
      <c r="G697" s="155"/>
      <c r="H697" s="155"/>
      <c r="I697" s="155"/>
      <c r="J697" s="155"/>
      <c r="K697" s="155"/>
      <c r="L697" s="155"/>
      <c r="M697" s="155"/>
    </row>
    <row r="698" spans="3:13" ht="14.1" customHeight="1">
      <c r="C698" s="159"/>
      <c r="D698" s="155"/>
      <c r="E698" s="155"/>
      <c r="F698" s="155"/>
      <c r="G698" s="155"/>
      <c r="H698" s="155"/>
      <c r="I698" s="155"/>
      <c r="J698" s="155"/>
      <c r="K698" s="155"/>
      <c r="L698" s="155"/>
      <c r="M698" s="155"/>
    </row>
    <row r="699" spans="3:13" ht="14.1" customHeight="1">
      <c r="C699" s="159"/>
      <c r="D699" s="155"/>
      <c r="E699" s="155"/>
      <c r="F699" s="155"/>
      <c r="G699" s="155"/>
      <c r="H699" s="155"/>
      <c r="I699" s="155"/>
      <c r="J699" s="155"/>
      <c r="K699" s="155"/>
      <c r="L699" s="155"/>
      <c r="M699" s="155"/>
    </row>
    <row r="700" spans="3:13" ht="14.1" customHeight="1">
      <c r="C700" s="159"/>
      <c r="D700" s="155"/>
      <c r="E700" s="155"/>
      <c r="F700" s="155"/>
      <c r="G700" s="155"/>
      <c r="H700" s="155"/>
      <c r="I700" s="155"/>
      <c r="J700" s="155"/>
      <c r="K700" s="155"/>
      <c r="L700" s="155"/>
      <c r="M700" s="155"/>
    </row>
    <row r="701" spans="3:13" ht="14.1" customHeight="1">
      <c r="C701" s="159"/>
      <c r="D701" s="155"/>
      <c r="E701" s="155"/>
      <c r="F701" s="155"/>
      <c r="G701" s="155"/>
      <c r="H701" s="155"/>
      <c r="I701" s="155"/>
      <c r="J701" s="155"/>
      <c r="K701" s="155"/>
      <c r="L701" s="155"/>
      <c r="M701" s="155"/>
    </row>
    <row r="702" spans="3:13" ht="14.1" customHeight="1">
      <c r="C702" s="159"/>
      <c r="D702" s="155"/>
      <c r="E702" s="155"/>
      <c r="F702" s="155"/>
      <c r="G702" s="155"/>
      <c r="H702" s="155"/>
      <c r="I702" s="155"/>
      <c r="J702" s="155"/>
      <c r="K702" s="155"/>
      <c r="L702" s="155"/>
      <c r="M702" s="155"/>
    </row>
    <row r="703" spans="3:13" ht="14.1" customHeight="1">
      <c r="C703" s="159"/>
      <c r="D703" s="155"/>
      <c r="E703" s="155"/>
      <c r="F703" s="155"/>
      <c r="G703" s="155"/>
      <c r="H703" s="155"/>
      <c r="I703" s="155"/>
      <c r="J703" s="155"/>
      <c r="K703" s="155"/>
      <c r="L703" s="155"/>
      <c r="M703" s="155"/>
    </row>
    <row r="704" spans="3:13" ht="14.1" customHeight="1">
      <c r="C704" s="159"/>
      <c r="D704" s="155"/>
      <c r="E704" s="155"/>
      <c r="F704" s="155"/>
      <c r="G704" s="155"/>
      <c r="H704" s="155"/>
      <c r="I704" s="155"/>
      <c r="J704" s="155"/>
      <c r="K704" s="155"/>
      <c r="L704" s="155"/>
      <c r="M704" s="155"/>
    </row>
    <row r="705" spans="3:13" ht="14.1" customHeight="1">
      <c r="C705" s="159"/>
      <c r="D705" s="155"/>
      <c r="E705" s="155"/>
      <c r="F705" s="155"/>
      <c r="G705" s="155"/>
      <c r="H705" s="155"/>
      <c r="I705" s="155"/>
      <c r="J705" s="155"/>
      <c r="K705" s="155"/>
      <c r="L705" s="155"/>
      <c r="M705" s="155"/>
    </row>
    <row r="706" spans="3:13" ht="14.1" customHeight="1">
      <c r="C706" s="159"/>
      <c r="D706" s="155"/>
      <c r="E706" s="155"/>
      <c r="F706" s="155"/>
      <c r="G706" s="155"/>
      <c r="H706" s="155"/>
      <c r="I706" s="155"/>
      <c r="J706" s="155"/>
      <c r="K706" s="155"/>
      <c r="L706" s="155"/>
      <c r="M706" s="155"/>
    </row>
    <row r="707" spans="3:13" ht="14.1" customHeight="1">
      <c r="C707" s="159"/>
      <c r="D707" s="155"/>
      <c r="E707" s="155"/>
      <c r="F707" s="155"/>
      <c r="G707" s="155"/>
      <c r="H707" s="155"/>
      <c r="I707" s="155"/>
      <c r="J707" s="155"/>
      <c r="K707" s="155"/>
      <c r="L707" s="155"/>
      <c r="M707" s="155"/>
    </row>
    <row r="708" spans="3:13" ht="14.1" customHeight="1">
      <c r="C708" s="159"/>
      <c r="D708" s="155"/>
      <c r="E708" s="155"/>
      <c r="F708" s="155"/>
      <c r="G708" s="155"/>
      <c r="H708" s="155"/>
      <c r="I708" s="155"/>
      <c r="J708" s="155"/>
      <c r="K708" s="155"/>
      <c r="L708" s="155"/>
      <c r="M708" s="155"/>
    </row>
    <row r="709" spans="3:13" ht="14.1" customHeight="1">
      <c r="C709" s="159"/>
      <c r="D709" s="155"/>
      <c r="E709" s="155"/>
      <c r="F709" s="155"/>
      <c r="G709" s="155"/>
      <c r="H709" s="155"/>
      <c r="I709" s="155"/>
      <c r="J709" s="155"/>
      <c r="K709" s="155"/>
      <c r="L709" s="155"/>
      <c r="M709" s="155"/>
    </row>
    <row r="710" spans="3:13" ht="14.1" customHeight="1">
      <c r="C710" s="159"/>
      <c r="D710" s="155"/>
      <c r="E710" s="155"/>
      <c r="F710" s="155"/>
      <c r="G710" s="155"/>
      <c r="H710" s="155"/>
      <c r="I710" s="155"/>
      <c r="J710" s="155"/>
      <c r="K710" s="155"/>
      <c r="L710" s="155"/>
      <c r="M710" s="155"/>
    </row>
    <row r="711" spans="3:13" ht="14.1" customHeight="1">
      <c r="C711" s="159"/>
      <c r="D711" s="155"/>
      <c r="E711" s="155"/>
      <c r="F711" s="155"/>
      <c r="G711" s="155"/>
      <c r="H711" s="155"/>
      <c r="I711" s="155"/>
      <c r="J711" s="155"/>
      <c r="K711" s="155"/>
      <c r="L711" s="155"/>
      <c r="M711" s="155"/>
    </row>
    <row r="712" spans="3:13" ht="14.1" customHeight="1">
      <c r="C712" s="159"/>
      <c r="D712" s="155"/>
      <c r="E712" s="155"/>
      <c r="F712" s="155"/>
      <c r="G712" s="155"/>
      <c r="H712" s="155"/>
      <c r="I712" s="155"/>
      <c r="J712" s="155"/>
      <c r="K712" s="155"/>
      <c r="L712" s="155"/>
      <c r="M712" s="155"/>
    </row>
    <row r="713" spans="3:13" ht="14.1" customHeight="1">
      <c r="C713" s="159"/>
      <c r="D713" s="155"/>
      <c r="E713" s="155"/>
      <c r="F713" s="155"/>
      <c r="G713" s="155"/>
      <c r="H713" s="155"/>
      <c r="I713" s="155"/>
      <c r="J713" s="155"/>
      <c r="K713" s="155"/>
      <c r="L713" s="155"/>
      <c r="M713" s="155"/>
    </row>
    <row r="714" spans="3:13" ht="14.1" customHeight="1">
      <c r="C714" s="159"/>
      <c r="D714" s="155"/>
      <c r="E714" s="155"/>
      <c r="F714" s="155"/>
      <c r="G714" s="155"/>
      <c r="H714" s="155"/>
      <c r="I714" s="155"/>
      <c r="J714" s="155"/>
      <c r="K714" s="155"/>
      <c r="L714" s="155"/>
      <c r="M714" s="155"/>
    </row>
    <row r="715" spans="3:13" ht="14.1" customHeight="1">
      <c r="C715" s="159"/>
      <c r="D715" s="155"/>
      <c r="E715" s="155"/>
      <c r="F715" s="155"/>
      <c r="G715" s="155"/>
      <c r="H715" s="155"/>
      <c r="I715" s="155"/>
      <c r="J715" s="155"/>
      <c r="K715" s="155"/>
      <c r="L715" s="155"/>
      <c r="M715" s="155"/>
    </row>
    <row r="716" spans="3:13" ht="14.1" customHeight="1">
      <c r="C716" s="159"/>
      <c r="D716" s="155"/>
      <c r="E716" s="155"/>
      <c r="F716" s="155"/>
      <c r="G716" s="155"/>
      <c r="H716" s="155"/>
      <c r="I716" s="155"/>
      <c r="J716" s="155"/>
      <c r="K716" s="155"/>
      <c r="L716" s="155"/>
      <c r="M716" s="155"/>
    </row>
    <row r="717" spans="3:13" ht="14.1" customHeight="1">
      <c r="C717" s="159"/>
      <c r="D717" s="155"/>
      <c r="E717" s="155"/>
      <c r="F717" s="155"/>
      <c r="G717" s="155"/>
      <c r="H717" s="155"/>
      <c r="I717" s="155"/>
      <c r="J717" s="155"/>
      <c r="K717" s="155"/>
      <c r="L717" s="155"/>
      <c r="M717" s="155"/>
    </row>
    <row r="718" spans="3:13" ht="14.1" customHeight="1">
      <c r="C718" s="159"/>
      <c r="D718" s="155"/>
      <c r="E718" s="155"/>
      <c r="F718" s="155"/>
      <c r="G718" s="155"/>
      <c r="H718" s="155"/>
      <c r="I718" s="155"/>
      <c r="J718" s="155"/>
      <c r="K718" s="155"/>
      <c r="L718" s="155"/>
      <c r="M718" s="155"/>
    </row>
    <row r="719" spans="3:13" ht="14.1" customHeight="1">
      <c r="C719" s="159"/>
      <c r="D719" s="155"/>
      <c r="E719" s="155"/>
      <c r="F719" s="155"/>
      <c r="G719" s="155"/>
      <c r="H719" s="155"/>
      <c r="I719" s="155"/>
      <c r="J719" s="155"/>
      <c r="K719" s="155"/>
      <c r="L719" s="155"/>
      <c r="M719" s="155"/>
    </row>
    <row r="720" spans="3:13" ht="14.1" customHeight="1">
      <c r="C720" s="159"/>
      <c r="D720" s="155"/>
      <c r="E720" s="155"/>
      <c r="F720" s="155"/>
      <c r="G720" s="155"/>
      <c r="H720" s="155"/>
      <c r="I720" s="155"/>
      <c r="J720" s="155"/>
      <c r="K720" s="155"/>
      <c r="L720" s="155"/>
      <c r="M720" s="155"/>
    </row>
    <row r="721" spans="3:13" ht="14.1" customHeight="1">
      <c r="C721" s="159"/>
      <c r="D721" s="155"/>
      <c r="E721" s="155"/>
      <c r="F721" s="155"/>
      <c r="G721" s="155"/>
      <c r="H721" s="155"/>
      <c r="I721" s="155"/>
      <c r="J721" s="155"/>
      <c r="K721" s="155"/>
      <c r="L721" s="155"/>
      <c r="M721" s="155"/>
    </row>
    <row r="722" spans="3:13" ht="14.1" customHeight="1">
      <c r="C722" s="159"/>
      <c r="D722" s="155"/>
      <c r="E722" s="155"/>
      <c r="F722" s="155"/>
      <c r="G722" s="155"/>
      <c r="H722" s="155"/>
      <c r="I722" s="155"/>
      <c r="J722" s="155"/>
      <c r="K722" s="155"/>
      <c r="L722" s="155"/>
      <c r="M722" s="155"/>
    </row>
    <row r="723" spans="3:13" ht="14.1" customHeight="1">
      <c r="C723" s="159"/>
      <c r="D723" s="155"/>
      <c r="E723" s="155"/>
      <c r="F723" s="155"/>
      <c r="G723" s="155"/>
      <c r="H723" s="155"/>
      <c r="I723" s="155"/>
      <c r="J723" s="155"/>
      <c r="K723" s="155"/>
      <c r="L723" s="155"/>
      <c r="M723" s="155"/>
    </row>
    <row r="724" spans="3:13" ht="14.1" customHeight="1">
      <c r="C724" s="159"/>
      <c r="D724" s="155"/>
      <c r="E724" s="155"/>
      <c r="F724" s="155"/>
      <c r="G724" s="155"/>
      <c r="H724" s="155"/>
      <c r="I724" s="155"/>
      <c r="J724" s="155"/>
      <c r="K724" s="155"/>
      <c r="L724" s="155"/>
      <c r="M724" s="155"/>
    </row>
    <row r="725" spans="3:13" ht="14.1" customHeight="1">
      <c r="C725" s="159"/>
      <c r="D725" s="155"/>
      <c r="E725" s="155"/>
      <c r="F725" s="155"/>
      <c r="G725" s="155"/>
      <c r="H725" s="155"/>
      <c r="I725" s="155"/>
      <c r="J725" s="155"/>
      <c r="K725" s="155"/>
      <c r="L725" s="155"/>
      <c r="M725" s="155"/>
    </row>
    <row r="726" spans="3:13" ht="14.1" customHeight="1">
      <c r="C726" s="159"/>
      <c r="D726" s="155"/>
      <c r="E726" s="155"/>
      <c r="F726" s="155"/>
      <c r="G726" s="155"/>
      <c r="H726" s="155"/>
      <c r="I726" s="155"/>
      <c r="J726" s="155"/>
      <c r="K726" s="155"/>
      <c r="L726" s="155"/>
      <c r="M726" s="155"/>
    </row>
    <row r="727" spans="3:13" ht="14.1" customHeight="1">
      <c r="C727" s="159"/>
      <c r="D727" s="155"/>
      <c r="E727" s="155"/>
      <c r="F727" s="155"/>
      <c r="G727" s="155"/>
      <c r="H727" s="155"/>
      <c r="I727" s="155"/>
      <c r="J727" s="155"/>
      <c r="K727" s="155"/>
      <c r="L727" s="155"/>
      <c r="M727" s="155"/>
    </row>
    <row r="728" spans="3:13" ht="14.1" customHeight="1">
      <c r="C728" s="159"/>
      <c r="D728" s="155"/>
      <c r="E728" s="155"/>
      <c r="F728" s="155"/>
      <c r="G728" s="155"/>
      <c r="H728" s="155"/>
      <c r="I728" s="155"/>
      <c r="J728" s="155"/>
      <c r="K728" s="155"/>
      <c r="L728" s="155"/>
      <c r="M728" s="155"/>
    </row>
    <row r="729" spans="3:13" ht="14.1" customHeight="1">
      <c r="C729" s="159"/>
      <c r="D729" s="155"/>
      <c r="E729" s="155"/>
      <c r="F729" s="155"/>
      <c r="G729" s="155"/>
      <c r="H729" s="155"/>
      <c r="I729" s="155"/>
      <c r="J729" s="155"/>
      <c r="K729" s="155"/>
      <c r="L729" s="155"/>
      <c r="M729" s="155"/>
    </row>
    <row r="730" spans="3:13" ht="14.1" customHeight="1">
      <c r="C730" s="159"/>
      <c r="D730" s="155"/>
      <c r="E730" s="155"/>
      <c r="F730" s="155"/>
      <c r="G730" s="155"/>
      <c r="H730" s="155"/>
      <c r="I730" s="155"/>
      <c r="J730" s="155"/>
      <c r="K730" s="155"/>
      <c r="L730" s="155"/>
      <c r="M730" s="155"/>
    </row>
    <row r="731" spans="3:13" ht="14.1" customHeight="1">
      <c r="C731" s="159"/>
      <c r="D731" s="155"/>
      <c r="E731" s="155"/>
      <c r="F731" s="155"/>
      <c r="G731" s="155"/>
      <c r="H731" s="155"/>
      <c r="I731" s="155"/>
      <c r="J731" s="155"/>
      <c r="K731" s="155"/>
      <c r="L731" s="155"/>
      <c r="M731" s="155"/>
    </row>
    <row r="732" spans="3:13" ht="14.1" customHeight="1">
      <c r="C732" s="159"/>
      <c r="D732" s="155"/>
      <c r="E732" s="155"/>
      <c r="F732" s="155"/>
      <c r="G732" s="155"/>
      <c r="H732" s="155"/>
      <c r="I732" s="155"/>
      <c r="J732" s="155"/>
      <c r="K732" s="155"/>
      <c r="L732" s="155"/>
      <c r="M732" s="155"/>
    </row>
    <row r="733" spans="3:13" ht="14.1" customHeight="1">
      <c r="C733" s="159"/>
      <c r="D733" s="155"/>
      <c r="E733" s="155"/>
      <c r="F733" s="155"/>
      <c r="G733" s="155"/>
      <c r="H733" s="155"/>
      <c r="I733" s="155"/>
      <c r="J733" s="155"/>
      <c r="K733" s="155"/>
      <c r="L733" s="155"/>
      <c r="M733" s="155"/>
    </row>
    <row r="734" spans="3:13" ht="14.1" customHeight="1">
      <c r="C734" s="159"/>
      <c r="D734" s="155"/>
      <c r="E734" s="155"/>
      <c r="F734" s="155"/>
      <c r="G734" s="155"/>
      <c r="H734" s="155"/>
      <c r="I734" s="155"/>
      <c r="J734" s="155"/>
      <c r="K734" s="155"/>
      <c r="L734" s="155"/>
      <c r="M734" s="155"/>
    </row>
    <row r="735" spans="3:13" ht="14.1" customHeight="1">
      <c r="C735" s="159"/>
      <c r="D735" s="155"/>
      <c r="E735" s="155"/>
      <c r="F735" s="155"/>
      <c r="G735" s="155"/>
      <c r="H735" s="155"/>
      <c r="I735" s="155"/>
      <c r="J735" s="155"/>
      <c r="K735" s="155"/>
      <c r="L735" s="155"/>
      <c r="M735" s="155"/>
    </row>
    <row r="736" spans="3:13" ht="14.1" customHeight="1">
      <c r="C736" s="159"/>
      <c r="D736" s="155"/>
      <c r="E736" s="155"/>
      <c r="F736" s="155"/>
      <c r="G736" s="155"/>
      <c r="H736" s="155"/>
      <c r="I736" s="155"/>
      <c r="J736" s="155"/>
      <c r="K736" s="155"/>
      <c r="L736" s="155"/>
      <c r="M736" s="155"/>
    </row>
    <row r="737" spans="3:13" ht="14.1" customHeight="1">
      <c r="C737" s="159"/>
      <c r="D737" s="155"/>
      <c r="E737" s="155"/>
      <c r="F737" s="155"/>
      <c r="G737" s="155"/>
      <c r="H737" s="155"/>
      <c r="I737" s="155"/>
      <c r="J737" s="155"/>
      <c r="K737" s="155"/>
      <c r="L737" s="155"/>
      <c r="M737" s="155"/>
    </row>
    <row r="738" spans="3:13" ht="14.1" customHeight="1">
      <c r="C738" s="159"/>
      <c r="D738" s="155"/>
      <c r="E738" s="155"/>
      <c r="F738" s="155"/>
      <c r="G738" s="155"/>
      <c r="H738" s="155"/>
      <c r="I738" s="155"/>
      <c r="J738" s="155"/>
      <c r="K738" s="155"/>
      <c r="L738" s="155"/>
      <c r="M738" s="155"/>
    </row>
    <row r="739" spans="3:13" ht="14.1" customHeight="1">
      <c r="C739" s="159"/>
      <c r="D739" s="155"/>
      <c r="E739" s="155"/>
      <c r="F739" s="155"/>
      <c r="G739" s="155"/>
      <c r="H739" s="155"/>
      <c r="I739" s="155"/>
      <c r="J739" s="155"/>
      <c r="K739" s="155"/>
      <c r="L739" s="155"/>
      <c r="M739" s="155"/>
    </row>
    <row r="740" spans="3:13" ht="14.1" customHeight="1">
      <c r="C740" s="159"/>
      <c r="D740" s="155"/>
      <c r="E740" s="155"/>
      <c r="F740" s="155"/>
      <c r="G740" s="155"/>
      <c r="H740" s="155"/>
      <c r="I740" s="155"/>
      <c r="J740" s="155"/>
      <c r="K740" s="155"/>
      <c r="L740" s="155"/>
      <c r="M740" s="155"/>
    </row>
    <row r="741" spans="3:13" ht="14.1" customHeight="1">
      <c r="C741" s="159"/>
      <c r="D741" s="155"/>
      <c r="E741" s="155"/>
      <c r="F741" s="155"/>
      <c r="G741" s="155"/>
      <c r="H741" s="155"/>
      <c r="I741" s="155"/>
      <c r="J741" s="155"/>
      <c r="K741" s="155"/>
      <c r="L741" s="155"/>
      <c r="M741" s="155"/>
    </row>
    <row r="742" spans="3:13" ht="14.1" customHeight="1">
      <c r="C742" s="159"/>
      <c r="D742" s="155"/>
      <c r="E742" s="155"/>
      <c r="F742" s="155"/>
      <c r="G742" s="155"/>
      <c r="H742" s="155"/>
      <c r="I742" s="155"/>
      <c r="J742" s="155"/>
      <c r="K742" s="155"/>
      <c r="L742" s="155"/>
      <c r="M742" s="155"/>
    </row>
    <row r="743" spans="3:13" ht="14.1" customHeight="1">
      <c r="C743" s="159"/>
      <c r="D743" s="155"/>
      <c r="E743" s="155"/>
      <c r="F743" s="155"/>
      <c r="G743" s="155"/>
      <c r="H743" s="155"/>
      <c r="I743" s="155"/>
      <c r="J743" s="155"/>
      <c r="K743" s="155"/>
      <c r="L743" s="155"/>
      <c r="M743" s="155"/>
    </row>
    <row r="744" spans="3:13" ht="14.1" customHeight="1">
      <c r="C744" s="159"/>
      <c r="D744" s="155"/>
      <c r="E744" s="155"/>
      <c r="F744" s="155"/>
      <c r="G744" s="155"/>
      <c r="H744" s="155"/>
      <c r="I744" s="155"/>
      <c r="J744" s="155"/>
      <c r="K744" s="155"/>
      <c r="L744" s="155"/>
      <c r="M744" s="155"/>
    </row>
    <row r="745" spans="3:13" ht="14.1" customHeight="1">
      <c r="C745" s="159"/>
      <c r="D745" s="155"/>
      <c r="E745" s="155"/>
      <c r="F745" s="155"/>
      <c r="G745" s="155"/>
      <c r="H745" s="155"/>
      <c r="I745" s="155"/>
      <c r="J745" s="155"/>
      <c r="K745" s="155"/>
      <c r="L745" s="155"/>
      <c r="M745" s="155"/>
    </row>
    <row r="746" spans="3:13" ht="14.1" customHeight="1">
      <c r="C746" s="159"/>
      <c r="D746" s="155"/>
      <c r="E746" s="155"/>
      <c r="F746" s="155"/>
      <c r="G746" s="155"/>
      <c r="H746" s="155"/>
      <c r="I746" s="155"/>
      <c r="J746" s="155"/>
      <c r="K746" s="155"/>
      <c r="L746" s="155"/>
      <c r="M746" s="155"/>
    </row>
    <row r="747" spans="3:13" ht="14.1" customHeight="1">
      <c r="C747" s="159"/>
      <c r="D747" s="155"/>
      <c r="E747" s="155"/>
      <c r="F747" s="155"/>
      <c r="G747" s="155"/>
      <c r="H747" s="155"/>
      <c r="I747" s="155"/>
      <c r="J747" s="155"/>
      <c r="K747" s="155"/>
      <c r="L747" s="155"/>
      <c r="M747" s="155"/>
    </row>
    <row r="748" spans="3:13" ht="14.1" customHeight="1">
      <c r="C748" s="159"/>
      <c r="D748" s="155"/>
      <c r="E748" s="155"/>
      <c r="F748" s="155"/>
      <c r="G748" s="155"/>
      <c r="H748" s="155"/>
      <c r="I748" s="155"/>
      <c r="J748" s="155"/>
      <c r="K748" s="155"/>
      <c r="L748" s="155"/>
      <c r="M748" s="155"/>
    </row>
    <row r="749" spans="3:13" ht="14.1" customHeight="1">
      <c r="C749" s="159"/>
      <c r="D749" s="155"/>
      <c r="E749" s="155"/>
      <c r="F749" s="155"/>
      <c r="G749" s="155"/>
      <c r="H749" s="155"/>
      <c r="I749" s="155"/>
      <c r="J749" s="155"/>
      <c r="K749" s="155"/>
      <c r="L749" s="155"/>
      <c r="M749" s="155"/>
    </row>
    <row r="750" spans="3:13" ht="14.1" customHeight="1">
      <c r="C750" s="159"/>
      <c r="D750" s="155"/>
      <c r="E750" s="155"/>
      <c r="F750" s="155"/>
      <c r="G750" s="155"/>
      <c r="H750" s="155"/>
      <c r="I750" s="155"/>
      <c r="J750" s="155"/>
      <c r="K750" s="155"/>
      <c r="L750" s="155"/>
      <c r="M750" s="155"/>
    </row>
    <row r="751" spans="3:13" ht="14.1" customHeight="1">
      <c r="C751" s="159"/>
      <c r="D751" s="155"/>
      <c r="E751" s="155"/>
      <c r="F751" s="155"/>
      <c r="G751" s="155"/>
      <c r="H751" s="155"/>
      <c r="I751" s="155"/>
      <c r="J751" s="155"/>
      <c r="K751" s="155"/>
      <c r="L751" s="155"/>
      <c r="M751" s="155"/>
    </row>
    <row r="752" spans="3:13" ht="14.1" customHeight="1">
      <c r="C752" s="159"/>
      <c r="D752" s="155"/>
      <c r="E752" s="155"/>
      <c r="F752" s="155"/>
      <c r="G752" s="155"/>
      <c r="H752" s="155"/>
      <c r="I752" s="155"/>
      <c r="J752" s="155"/>
      <c r="K752" s="155"/>
      <c r="L752" s="155"/>
      <c r="M752" s="155"/>
    </row>
    <row r="753" spans="3:13" ht="14.1" customHeight="1">
      <c r="C753" s="159"/>
      <c r="D753" s="155"/>
      <c r="E753" s="155"/>
      <c r="F753" s="155"/>
      <c r="G753" s="155"/>
      <c r="H753" s="155"/>
      <c r="I753" s="155"/>
      <c r="J753" s="155"/>
      <c r="K753" s="155"/>
      <c r="L753" s="155"/>
      <c r="M753" s="155"/>
    </row>
    <row r="754" spans="3:13" ht="14.1" customHeight="1">
      <c r="C754" s="159"/>
      <c r="D754" s="155"/>
      <c r="E754" s="155"/>
      <c r="F754" s="155"/>
      <c r="G754" s="155"/>
      <c r="H754" s="155"/>
      <c r="I754" s="155"/>
      <c r="J754" s="155"/>
      <c r="K754" s="155"/>
      <c r="L754" s="155"/>
      <c r="M754" s="155"/>
    </row>
    <row r="755" spans="3:13" ht="14.1" customHeight="1">
      <c r="C755" s="159"/>
      <c r="D755" s="155"/>
      <c r="E755" s="155"/>
      <c r="F755" s="155"/>
      <c r="G755" s="155"/>
      <c r="H755" s="155"/>
      <c r="I755" s="155"/>
      <c r="J755" s="155"/>
      <c r="K755" s="155"/>
      <c r="L755" s="155"/>
      <c r="M755" s="155"/>
    </row>
    <row r="756" spans="3:13" ht="14.1" customHeight="1">
      <c r="C756" s="159"/>
      <c r="D756" s="155"/>
      <c r="E756" s="155"/>
      <c r="F756" s="155"/>
      <c r="G756" s="155"/>
      <c r="H756" s="155"/>
      <c r="I756" s="155"/>
      <c r="J756" s="155"/>
      <c r="K756" s="155"/>
      <c r="L756" s="155"/>
      <c r="M756" s="155"/>
    </row>
    <row r="757" spans="3:13" ht="14.1" customHeight="1">
      <c r="C757" s="159"/>
      <c r="D757" s="155"/>
      <c r="E757" s="155"/>
      <c r="F757" s="155"/>
      <c r="G757" s="155"/>
      <c r="H757" s="155"/>
      <c r="I757" s="155"/>
      <c r="J757" s="155"/>
      <c r="K757" s="155"/>
      <c r="L757" s="155"/>
      <c r="M757" s="155"/>
    </row>
    <row r="758" spans="3:13" ht="14.1" customHeight="1">
      <c r="C758" s="159"/>
      <c r="D758" s="155"/>
      <c r="E758" s="155"/>
      <c r="F758" s="155"/>
      <c r="G758" s="155"/>
      <c r="H758" s="155"/>
      <c r="I758" s="155"/>
      <c r="J758" s="155"/>
      <c r="K758" s="155"/>
      <c r="L758" s="155"/>
      <c r="M758" s="155"/>
    </row>
    <row r="759" spans="3:13" ht="14.1" customHeight="1">
      <c r="C759" s="159"/>
      <c r="D759" s="155"/>
      <c r="E759" s="155"/>
      <c r="F759" s="155"/>
      <c r="G759" s="155"/>
      <c r="H759" s="155"/>
      <c r="I759" s="155"/>
      <c r="J759" s="155"/>
      <c r="K759" s="155"/>
      <c r="L759" s="155"/>
      <c r="M759" s="155"/>
    </row>
    <row r="760" spans="3:13" ht="14.1" customHeight="1">
      <c r="C760" s="159"/>
      <c r="D760" s="155"/>
      <c r="E760" s="155"/>
      <c r="F760" s="155"/>
      <c r="G760" s="155"/>
      <c r="H760" s="155"/>
      <c r="I760" s="155"/>
      <c r="J760" s="155"/>
      <c r="K760" s="155"/>
      <c r="L760" s="155"/>
      <c r="M760" s="155"/>
    </row>
    <row r="761" spans="3:13" ht="14.1" customHeight="1">
      <c r="C761" s="159"/>
      <c r="D761" s="155"/>
      <c r="E761" s="155"/>
      <c r="F761" s="155"/>
      <c r="G761" s="155"/>
      <c r="H761" s="155"/>
      <c r="I761" s="155"/>
      <c r="J761" s="155"/>
      <c r="K761" s="155"/>
      <c r="L761" s="155"/>
      <c r="M761" s="155"/>
    </row>
    <row r="762" spans="3:13" ht="14.1" customHeight="1">
      <c r="C762" s="159"/>
      <c r="D762" s="155"/>
      <c r="E762" s="155"/>
      <c r="F762" s="155"/>
      <c r="G762" s="155"/>
      <c r="H762" s="155"/>
      <c r="I762" s="155"/>
      <c r="J762" s="155"/>
      <c r="K762" s="155"/>
      <c r="L762" s="155"/>
      <c r="M762" s="155"/>
    </row>
    <row r="763" spans="3:13" ht="14.1" customHeight="1">
      <c r="C763" s="159"/>
      <c r="D763" s="155"/>
      <c r="E763" s="155"/>
      <c r="F763" s="155"/>
      <c r="G763" s="155"/>
      <c r="H763" s="155"/>
      <c r="I763" s="155"/>
      <c r="J763" s="155"/>
      <c r="K763" s="155"/>
      <c r="L763" s="155"/>
      <c r="M763" s="155"/>
    </row>
    <row r="764" spans="3:13" ht="14.1" customHeight="1">
      <c r="C764" s="159"/>
      <c r="D764" s="155"/>
      <c r="E764" s="155"/>
      <c r="F764" s="155"/>
      <c r="G764" s="155"/>
      <c r="H764" s="155"/>
      <c r="I764" s="155"/>
      <c r="J764" s="155"/>
      <c r="K764" s="155"/>
      <c r="L764" s="155"/>
      <c r="M764" s="155"/>
    </row>
    <row r="765" spans="3:13" ht="14.1" customHeight="1">
      <c r="C765" s="159"/>
      <c r="D765" s="155"/>
      <c r="E765" s="155"/>
      <c r="F765" s="155"/>
      <c r="G765" s="155"/>
      <c r="H765" s="155"/>
      <c r="I765" s="155"/>
      <c r="J765" s="155"/>
      <c r="K765" s="155"/>
      <c r="L765" s="155"/>
      <c r="M765" s="155"/>
    </row>
    <row r="766" spans="3:13" ht="14.1" customHeight="1">
      <c r="C766" s="159"/>
      <c r="D766" s="155"/>
      <c r="E766" s="155"/>
      <c r="F766" s="155"/>
      <c r="G766" s="155"/>
      <c r="H766" s="155"/>
      <c r="I766" s="155"/>
      <c r="J766" s="155"/>
      <c r="K766" s="155"/>
      <c r="L766" s="155"/>
      <c r="M766" s="155"/>
    </row>
    <row r="767" spans="3:13" ht="14.1" customHeight="1">
      <c r="C767" s="159"/>
      <c r="D767" s="155"/>
      <c r="E767" s="155"/>
      <c r="F767" s="155"/>
      <c r="G767" s="155"/>
      <c r="H767" s="155"/>
      <c r="I767" s="155"/>
      <c r="J767" s="155"/>
      <c r="K767" s="155"/>
      <c r="L767" s="155"/>
      <c r="M767" s="155"/>
    </row>
    <row r="768" spans="3:13" ht="14.1" customHeight="1">
      <c r="C768" s="159"/>
      <c r="D768" s="155"/>
      <c r="E768" s="155"/>
      <c r="F768" s="155"/>
      <c r="G768" s="155"/>
      <c r="H768" s="155"/>
      <c r="I768" s="155"/>
      <c r="J768" s="155"/>
      <c r="K768" s="155"/>
      <c r="L768" s="155"/>
      <c r="M768" s="155"/>
    </row>
    <row r="769" spans="3:13" ht="14.1" customHeight="1">
      <c r="C769" s="159"/>
      <c r="D769" s="155"/>
      <c r="E769" s="155"/>
      <c r="F769" s="155"/>
      <c r="G769" s="155"/>
      <c r="H769" s="155"/>
      <c r="I769" s="155"/>
      <c r="J769" s="155"/>
      <c r="K769" s="155"/>
      <c r="L769" s="155"/>
      <c r="M769" s="155"/>
    </row>
    <row r="770" spans="3:13" ht="14.1" customHeight="1">
      <c r="C770" s="159"/>
      <c r="D770" s="155"/>
      <c r="E770" s="155"/>
      <c r="F770" s="155"/>
      <c r="G770" s="155"/>
      <c r="H770" s="155"/>
      <c r="I770" s="155"/>
      <c r="J770" s="155"/>
      <c r="K770" s="155"/>
      <c r="L770" s="155"/>
      <c r="M770" s="155"/>
    </row>
    <row r="771" spans="3:13" ht="14.1" customHeight="1">
      <c r="C771" s="159"/>
      <c r="D771" s="155"/>
      <c r="E771" s="155"/>
      <c r="F771" s="155"/>
      <c r="G771" s="155"/>
      <c r="H771" s="155"/>
      <c r="I771" s="155"/>
      <c r="J771" s="155"/>
      <c r="K771" s="155"/>
      <c r="L771" s="155"/>
      <c r="M771" s="155"/>
    </row>
    <row r="772" spans="3:13" ht="14.1" customHeight="1">
      <c r="C772" s="159"/>
      <c r="D772" s="155"/>
      <c r="E772" s="155"/>
      <c r="F772" s="155"/>
      <c r="G772" s="155"/>
      <c r="H772" s="155"/>
      <c r="I772" s="155"/>
      <c r="J772" s="155"/>
      <c r="K772" s="155"/>
      <c r="L772" s="155"/>
      <c r="M772" s="155"/>
    </row>
    <row r="773" spans="3:13" ht="14.1" customHeight="1">
      <c r="C773" s="159"/>
      <c r="D773" s="155"/>
      <c r="E773" s="155"/>
      <c r="F773" s="155"/>
      <c r="G773" s="155"/>
      <c r="H773" s="155"/>
      <c r="I773" s="155"/>
      <c r="J773" s="155"/>
      <c r="K773" s="155"/>
      <c r="L773" s="155"/>
      <c r="M773" s="155"/>
    </row>
    <row r="774" spans="3:13" ht="14.1" customHeight="1">
      <c r="C774" s="159"/>
      <c r="D774" s="155"/>
      <c r="E774" s="155"/>
      <c r="F774" s="155"/>
      <c r="G774" s="155"/>
      <c r="H774" s="155"/>
      <c r="I774" s="155"/>
      <c r="J774" s="155"/>
      <c r="K774" s="155"/>
      <c r="L774" s="155"/>
      <c r="M774" s="155"/>
    </row>
    <row r="775" spans="3:13" ht="14.1" customHeight="1">
      <c r="C775" s="159"/>
      <c r="D775" s="155"/>
      <c r="E775" s="155"/>
      <c r="F775" s="155"/>
      <c r="G775" s="155"/>
      <c r="H775" s="155"/>
      <c r="I775" s="155"/>
      <c r="J775" s="155"/>
      <c r="K775" s="155"/>
      <c r="L775" s="155"/>
      <c r="M775" s="155"/>
    </row>
    <row r="776" spans="3:13" ht="14.1" customHeight="1">
      <c r="C776" s="159"/>
      <c r="D776" s="155"/>
      <c r="E776" s="155"/>
      <c r="F776" s="155"/>
      <c r="G776" s="155"/>
      <c r="H776" s="155"/>
      <c r="I776" s="155"/>
      <c r="J776" s="155"/>
      <c r="K776" s="155"/>
      <c r="L776" s="155"/>
      <c r="M776" s="155"/>
    </row>
    <row r="777" spans="3:13" ht="14.1" customHeight="1">
      <c r="C777" s="159"/>
      <c r="D777" s="155"/>
      <c r="E777" s="155"/>
      <c r="F777" s="155"/>
      <c r="G777" s="155"/>
      <c r="H777" s="155"/>
      <c r="I777" s="155"/>
      <c r="J777" s="155"/>
      <c r="K777" s="155"/>
      <c r="L777" s="155"/>
      <c r="M777" s="155"/>
    </row>
    <row r="778" spans="3:13" ht="14.1" customHeight="1">
      <c r="C778" s="159"/>
      <c r="D778" s="155"/>
      <c r="E778" s="155"/>
      <c r="F778" s="155"/>
      <c r="G778" s="155"/>
      <c r="H778" s="155"/>
      <c r="I778" s="155"/>
      <c r="J778" s="155"/>
      <c r="K778" s="155"/>
      <c r="L778" s="155"/>
      <c r="M778" s="155"/>
    </row>
    <row r="779" spans="3:13" ht="14.1" customHeight="1">
      <c r="C779" s="159"/>
      <c r="D779" s="155"/>
      <c r="E779" s="155"/>
      <c r="F779" s="155"/>
      <c r="G779" s="155"/>
      <c r="H779" s="155"/>
      <c r="I779" s="155"/>
      <c r="J779" s="155"/>
      <c r="K779" s="155"/>
      <c r="L779" s="155"/>
      <c r="M779" s="155"/>
    </row>
    <row r="780" spans="3:13" ht="14.1" customHeight="1">
      <c r="C780" s="159"/>
      <c r="D780" s="155"/>
      <c r="E780" s="155"/>
      <c r="F780" s="155"/>
      <c r="G780" s="155"/>
      <c r="H780" s="155"/>
      <c r="I780" s="155"/>
      <c r="J780" s="155"/>
      <c r="K780" s="155"/>
      <c r="L780" s="155"/>
      <c r="M780" s="155"/>
    </row>
    <row r="781" spans="3:13" ht="14.1" customHeight="1">
      <c r="C781" s="159"/>
      <c r="D781" s="155"/>
      <c r="E781" s="155"/>
      <c r="F781" s="155"/>
      <c r="G781" s="155"/>
      <c r="H781" s="155"/>
      <c r="I781" s="155"/>
      <c r="J781" s="155"/>
      <c r="K781" s="155"/>
      <c r="L781" s="155"/>
      <c r="M781" s="155"/>
    </row>
    <row r="782" spans="3:13" ht="14.1" customHeight="1">
      <c r="C782" s="159"/>
      <c r="D782" s="155"/>
      <c r="E782" s="155"/>
      <c r="F782" s="155"/>
      <c r="G782" s="155"/>
      <c r="H782" s="155"/>
      <c r="I782" s="155"/>
      <c r="J782" s="155"/>
      <c r="K782" s="155"/>
      <c r="L782" s="155"/>
      <c r="M782" s="155"/>
    </row>
    <row r="783" spans="3:13" ht="14.1" customHeight="1">
      <c r="C783" s="159"/>
      <c r="D783" s="155"/>
      <c r="E783" s="155"/>
      <c r="F783" s="155"/>
      <c r="G783" s="155"/>
      <c r="H783" s="155"/>
      <c r="I783" s="155"/>
      <c r="J783" s="155"/>
      <c r="K783" s="155"/>
      <c r="L783" s="155"/>
      <c r="M783" s="155"/>
    </row>
    <row r="784" spans="3:13" ht="14.1" customHeight="1">
      <c r="C784" s="159"/>
      <c r="D784" s="155"/>
      <c r="E784" s="155"/>
      <c r="F784" s="155"/>
      <c r="G784" s="155"/>
      <c r="H784" s="155"/>
      <c r="I784" s="155"/>
      <c r="J784" s="155"/>
      <c r="K784" s="155"/>
      <c r="L784" s="155"/>
      <c r="M784" s="155"/>
    </row>
    <row r="785" spans="3:13" ht="14.1" customHeight="1">
      <c r="C785" s="159"/>
      <c r="D785" s="155"/>
      <c r="E785" s="155"/>
      <c r="F785" s="155"/>
      <c r="G785" s="155"/>
      <c r="H785" s="155"/>
      <c r="I785" s="155"/>
      <c r="J785" s="155"/>
      <c r="K785" s="155"/>
      <c r="L785" s="155"/>
      <c r="M785" s="155"/>
    </row>
    <row r="786" spans="3:13" ht="14.1" customHeight="1">
      <c r="C786" s="159"/>
      <c r="D786" s="155"/>
      <c r="E786" s="155"/>
      <c r="F786" s="155"/>
      <c r="G786" s="155"/>
      <c r="H786" s="155"/>
      <c r="I786" s="155"/>
      <c r="J786" s="155"/>
      <c r="K786" s="155"/>
      <c r="L786" s="155"/>
      <c r="M786" s="155"/>
    </row>
    <row r="787" spans="3:13" ht="14.1" customHeight="1">
      <c r="C787" s="159"/>
      <c r="D787" s="155"/>
      <c r="E787" s="155"/>
      <c r="F787" s="155"/>
      <c r="G787" s="155"/>
      <c r="H787" s="155"/>
      <c r="I787" s="155"/>
      <c r="J787" s="155"/>
      <c r="K787" s="155"/>
      <c r="L787" s="155"/>
      <c r="M787" s="155"/>
    </row>
    <row r="788" spans="3:13" ht="14.1" customHeight="1">
      <c r="C788" s="159"/>
      <c r="D788" s="155"/>
      <c r="E788" s="155"/>
      <c r="F788" s="155"/>
      <c r="G788" s="155"/>
      <c r="H788" s="155"/>
      <c r="I788" s="155"/>
      <c r="J788" s="155"/>
      <c r="K788" s="155"/>
      <c r="L788" s="155"/>
      <c r="M788" s="155"/>
    </row>
    <row r="789" spans="3:13" ht="14.1" customHeight="1">
      <c r="C789" s="159"/>
      <c r="D789" s="155"/>
      <c r="E789" s="155"/>
      <c r="F789" s="155"/>
      <c r="G789" s="155"/>
      <c r="H789" s="155"/>
      <c r="I789" s="155"/>
      <c r="J789" s="155"/>
      <c r="K789" s="155"/>
      <c r="L789" s="155"/>
      <c r="M789" s="155"/>
    </row>
    <row r="790" spans="3:13" ht="14.1" customHeight="1">
      <c r="C790" s="159"/>
      <c r="D790" s="155"/>
      <c r="E790" s="155"/>
      <c r="F790" s="155"/>
      <c r="G790" s="155"/>
      <c r="H790" s="155"/>
      <c r="I790" s="155"/>
      <c r="J790" s="155"/>
      <c r="K790" s="155"/>
      <c r="L790" s="155"/>
      <c r="M790" s="155"/>
    </row>
    <row r="791" spans="3:13" ht="14.1" customHeight="1">
      <c r="C791" s="159"/>
      <c r="D791" s="155"/>
      <c r="E791" s="155"/>
      <c r="F791" s="155"/>
      <c r="G791" s="155"/>
      <c r="H791" s="155"/>
      <c r="I791" s="155"/>
      <c r="J791" s="155"/>
      <c r="K791" s="155"/>
      <c r="L791" s="155"/>
      <c r="M791" s="155"/>
    </row>
    <row r="792" spans="3:13" ht="14.1" customHeight="1">
      <c r="C792" s="159"/>
      <c r="D792" s="155"/>
      <c r="E792" s="155"/>
      <c r="F792" s="155"/>
      <c r="G792" s="155"/>
      <c r="H792" s="155"/>
      <c r="I792" s="155"/>
      <c r="J792" s="155"/>
      <c r="K792" s="155"/>
      <c r="L792" s="155"/>
      <c r="M792" s="155"/>
    </row>
    <row r="793" spans="3:13" ht="14.1" customHeight="1">
      <c r="C793" s="159"/>
      <c r="D793" s="155"/>
      <c r="E793" s="155"/>
      <c r="F793" s="155"/>
      <c r="G793" s="155"/>
      <c r="H793" s="155"/>
      <c r="I793" s="155"/>
      <c r="J793" s="155"/>
      <c r="K793" s="155"/>
      <c r="L793" s="155"/>
      <c r="M793" s="155"/>
    </row>
    <row r="794" spans="3:13" ht="14.1" customHeight="1">
      <c r="C794" s="159"/>
      <c r="D794" s="155"/>
      <c r="E794" s="155"/>
      <c r="F794" s="155"/>
      <c r="G794" s="155"/>
      <c r="H794" s="155"/>
      <c r="I794" s="155"/>
      <c r="J794" s="155"/>
      <c r="K794" s="155"/>
      <c r="L794" s="155"/>
      <c r="M794" s="155"/>
    </row>
    <row r="795" spans="3:13" ht="14.1" customHeight="1">
      <c r="C795" s="159"/>
      <c r="D795" s="155"/>
      <c r="E795" s="155"/>
      <c r="F795" s="155"/>
      <c r="G795" s="155"/>
      <c r="H795" s="155"/>
      <c r="I795" s="155"/>
      <c r="J795" s="155"/>
      <c r="K795" s="155"/>
      <c r="L795" s="155"/>
      <c r="M795" s="155"/>
    </row>
    <row r="796" spans="3:13" ht="14.1" customHeight="1">
      <c r="C796" s="159"/>
      <c r="D796" s="155"/>
      <c r="E796" s="155"/>
      <c r="F796" s="155"/>
      <c r="G796" s="155"/>
      <c r="H796" s="155"/>
      <c r="I796" s="155"/>
      <c r="J796" s="155"/>
      <c r="K796" s="155"/>
      <c r="L796" s="155"/>
      <c r="M796" s="155"/>
    </row>
    <row r="797" spans="3:13" ht="14.1" customHeight="1">
      <c r="C797" s="159"/>
      <c r="D797" s="155"/>
      <c r="E797" s="155"/>
      <c r="F797" s="155"/>
      <c r="G797" s="155"/>
      <c r="H797" s="155"/>
      <c r="I797" s="155"/>
      <c r="J797" s="155"/>
      <c r="K797" s="155"/>
      <c r="L797" s="155"/>
      <c r="M797" s="155"/>
    </row>
    <row r="798" spans="3:13" ht="14.1" customHeight="1">
      <c r="C798" s="159"/>
      <c r="D798" s="155"/>
      <c r="E798" s="155"/>
      <c r="F798" s="155"/>
      <c r="G798" s="155"/>
      <c r="H798" s="155"/>
      <c r="I798" s="155"/>
      <c r="J798" s="155"/>
      <c r="K798" s="155"/>
      <c r="L798" s="155"/>
      <c r="M798" s="155"/>
    </row>
    <row r="799" spans="3:13" ht="14.1" customHeight="1">
      <c r="C799" s="159"/>
      <c r="D799" s="155"/>
      <c r="E799" s="155"/>
      <c r="F799" s="155"/>
      <c r="G799" s="155"/>
      <c r="H799" s="155"/>
      <c r="I799" s="155"/>
      <c r="J799" s="155"/>
      <c r="K799" s="155"/>
      <c r="L799" s="155"/>
      <c r="M799" s="155"/>
    </row>
    <row r="800" spans="3:13" ht="14.1" customHeight="1">
      <c r="C800" s="159"/>
      <c r="D800" s="155"/>
      <c r="E800" s="155"/>
      <c r="F800" s="155"/>
      <c r="G800" s="155"/>
      <c r="H800" s="155"/>
      <c r="I800" s="155"/>
      <c r="J800" s="155"/>
      <c r="K800" s="155"/>
      <c r="L800" s="155"/>
      <c r="M800" s="155"/>
    </row>
    <row r="801" spans="3:13" ht="14.1" customHeight="1">
      <c r="C801" s="159"/>
      <c r="D801" s="155"/>
      <c r="E801" s="155"/>
      <c r="F801" s="155"/>
      <c r="G801" s="155"/>
      <c r="H801" s="155"/>
      <c r="I801" s="155"/>
      <c r="J801" s="155"/>
      <c r="K801" s="155"/>
      <c r="L801" s="155"/>
      <c r="M801" s="155"/>
    </row>
    <row r="802" spans="3:13" ht="14.1" customHeight="1">
      <c r="C802" s="159"/>
      <c r="D802" s="155"/>
      <c r="E802" s="155"/>
      <c r="F802" s="155"/>
      <c r="G802" s="155"/>
      <c r="H802" s="155"/>
      <c r="I802" s="155"/>
      <c r="J802" s="155"/>
      <c r="K802" s="155"/>
      <c r="L802" s="155"/>
      <c r="M802" s="155"/>
    </row>
    <row r="803" spans="3:13" ht="14.1" customHeight="1">
      <c r="C803" s="159"/>
      <c r="D803" s="155"/>
      <c r="E803" s="155"/>
      <c r="F803" s="155"/>
      <c r="G803" s="155"/>
      <c r="H803" s="155"/>
      <c r="I803" s="155"/>
      <c r="J803" s="155"/>
      <c r="K803" s="155"/>
      <c r="L803" s="155"/>
      <c r="M803" s="155"/>
    </row>
    <row r="804" spans="3:13" ht="14.1" customHeight="1">
      <c r="C804" s="159"/>
      <c r="D804" s="155"/>
      <c r="E804" s="155"/>
      <c r="F804" s="155"/>
      <c r="G804" s="155"/>
      <c r="H804" s="155"/>
      <c r="I804" s="155"/>
      <c r="J804" s="155"/>
      <c r="K804" s="155"/>
      <c r="L804" s="155"/>
      <c r="M804" s="155"/>
    </row>
    <row r="805" spans="3:13" ht="14.1" customHeight="1">
      <c r="C805" s="159"/>
      <c r="D805" s="155"/>
      <c r="E805" s="155"/>
      <c r="F805" s="155"/>
      <c r="G805" s="155"/>
      <c r="H805" s="155"/>
      <c r="I805" s="155"/>
      <c r="J805" s="155"/>
      <c r="K805" s="155"/>
      <c r="L805" s="155"/>
      <c r="M805" s="155"/>
    </row>
    <row r="806" spans="3:13" ht="14.1" customHeight="1">
      <c r="C806" s="159"/>
      <c r="D806" s="155"/>
      <c r="E806" s="155"/>
      <c r="F806" s="155"/>
      <c r="G806" s="155"/>
      <c r="H806" s="155"/>
      <c r="I806" s="155"/>
      <c r="J806" s="155"/>
      <c r="K806" s="155"/>
      <c r="L806" s="155"/>
      <c r="M806" s="155"/>
    </row>
    <row r="807" spans="3:13" ht="14.1" customHeight="1">
      <c r="C807" s="159"/>
      <c r="D807" s="155"/>
      <c r="E807" s="155"/>
      <c r="F807" s="155"/>
      <c r="G807" s="155"/>
      <c r="H807" s="155"/>
      <c r="I807" s="155"/>
      <c r="J807" s="155"/>
      <c r="K807" s="155"/>
      <c r="L807" s="155"/>
      <c r="M807" s="155"/>
    </row>
    <row r="808" spans="3:13" ht="14.1" customHeight="1">
      <c r="C808" s="159"/>
      <c r="D808" s="155"/>
      <c r="E808" s="155"/>
      <c r="F808" s="155"/>
      <c r="G808" s="155"/>
      <c r="H808" s="155"/>
      <c r="I808" s="155"/>
      <c r="J808" s="155"/>
      <c r="K808" s="155"/>
      <c r="L808" s="155"/>
      <c r="M808" s="155"/>
    </row>
    <row r="809" spans="3:13" ht="14.1" customHeight="1">
      <c r="C809" s="159"/>
      <c r="D809" s="155"/>
      <c r="E809" s="155"/>
      <c r="F809" s="155"/>
      <c r="G809" s="155"/>
      <c r="H809" s="155"/>
      <c r="I809" s="155"/>
      <c r="J809" s="155"/>
      <c r="K809" s="155"/>
      <c r="L809" s="155"/>
      <c r="M809" s="155"/>
    </row>
    <row r="810" spans="3:13" ht="14.1" customHeight="1">
      <c r="C810" s="159"/>
      <c r="D810" s="155"/>
      <c r="E810" s="155"/>
      <c r="F810" s="155"/>
      <c r="G810" s="155"/>
      <c r="H810" s="155"/>
      <c r="I810" s="155"/>
      <c r="J810" s="155"/>
      <c r="K810" s="155"/>
      <c r="L810" s="155"/>
      <c r="M810" s="155"/>
    </row>
    <row r="811" spans="3:13" ht="14.1" customHeight="1">
      <c r="C811" s="159"/>
      <c r="D811" s="155"/>
      <c r="E811" s="155"/>
      <c r="F811" s="155"/>
      <c r="G811" s="155"/>
      <c r="H811" s="155"/>
      <c r="I811" s="155"/>
      <c r="J811" s="155"/>
      <c r="K811" s="155"/>
      <c r="L811" s="155"/>
      <c r="M811" s="155"/>
    </row>
    <row r="812" spans="3:13" ht="14.1" customHeight="1">
      <c r="C812" s="159"/>
      <c r="D812" s="155"/>
      <c r="E812" s="155"/>
      <c r="F812" s="155"/>
      <c r="G812" s="155"/>
      <c r="H812" s="155"/>
      <c r="I812" s="155"/>
      <c r="J812" s="155"/>
      <c r="K812" s="155"/>
      <c r="L812" s="155"/>
      <c r="M812" s="155"/>
    </row>
    <row r="813" spans="3:13" ht="14.1" customHeight="1">
      <c r="C813" s="159"/>
      <c r="D813" s="155"/>
      <c r="E813" s="155"/>
      <c r="F813" s="155"/>
      <c r="G813" s="155"/>
      <c r="H813" s="155"/>
      <c r="I813" s="155"/>
      <c r="J813" s="155"/>
      <c r="K813" s="155"/>
      <c r="L813" s="155"/>
      <c r="M813" s="155"/>
    </row>
    <row r="814" spans="3:13" ht="14.1" customHeight="1">
      <c r="C814" s="159"/>
      <c r="D814" s="155"/>
      <c r="E814" s="155"/>
      <c r="F814" s="155"/>
      <c r="G814" s="155"/>
      <c r="H814" s="155"/>
      <c r="I814" s="155"/>
      <c r="J814" s="155"/>
      <c r="K814" s="155"/>
      <c r="L814" s="155"/>
      <c r="M814" s="155"/>
    </row>
    <row r="815" spans="3:13" ht="14.1" customHeight="1">
      <c r="C815" s="159"/>
      <c r="D815" s="155"/>
      <c r="E815" s="155"/>
      <c r="F815" s="155"/>
      <c r="G815" s="155"/>
      <c r="H815" s="155"/>
      <c r="I815" s="155"/>
      <c r="J815" s="155"/>
      <c r="K815" s="155"/>
      <c r="L815" s="155"/>
      <c r="M815" s="155"/>
    </row>
    <row r="816" spans="3:13" ht="14.1" customHeight="1">
      <c r="C816" s="159"/>
      <c r="D816" s="155"/>
      <c r="E816" s="155"/>
      <c r="F816" s="155"/>
      <c r="G816" s="155"/>
      <c r="H816" s="155"/>
      <c r="I816" s="155"/>
      <c r="J816" s="155"/>
      <c r="K816" s="155"/>
      <c r="L816" s="155"/>
      <c r="M816" s="155"/>
    </row>
    <row r="817" spans="3:13" ht="14.1" customHeight="1">
      <c r="C817" s="159"/>
      <c r="D817" s="155"/>
      <c r="E817" s="155"/>
      <c r="F817" s="155"/>
      <c r="G817" s="155"/>
      <c r="H817" s="155"/>
      <c r="I817" s="155"/>
      <c r="J817" s="155"/>
      <c r="K817" s="155"/>
      <c r="L817" s="155"/>
      <c r="M817" s="155"/>
    </row>
    <row r="818" spans="3:13" ht="14.1" customHeight="1">
      <c r="C818" s="159"/>
      <c r="D818" s="155"/>
      <c r="E818" s="155"/>
      <c r="F818" s="155"/>
      <c r="G818" s="155"/>
      <c r="H818" s="155"/>
      <c r="I818" s="155"/>
      <c r="J818" s="155"/>
      <c r="K818" s="155"/>
      <c r="L818" s="155"/>
      <c r="M818" s="155"/>
    </row>
    <row r="819" spans="3:13" ht="14.1" customHeight="1">
      <c r="C819" s="159"/>
      <c r="D819" s="155"/>
      <c r="E819" s="155"/>
      <c r="F819" s="155"/>
      <c r="G819" s="155"/>
      <c r="H819" s="155"/>
      <c r="I819" s="155"/>
      <c r="J819" s="155"/>
      <c r="K819" s="155"/>
      <c r="L819" s="155"/>
      <c r="M819" s="155"/>
    </row>
    <row r="820" spans="3:13" ht="14.1" customHeight="1">
      <c r="C820" s="159"/>
      <c r="D820" s="155"/>
      <c r="E820" s="155"/>
      <c r="F820" s="155"/>
      <c r="G820" s="155"/>
      <c r="H820" s="155"/>
      <c r="I820" s="155"/>
      <c r="J820" s="155"/>
      <c r="K820" s="155"/>
      <c r="L820" s="155"/>
      <c r="M820" s="155"/>
    </row>
    <row r="821" spans="3:13" ht="14.1" customHeight="1">
      <c r="C821" s="159"/>
      <c r="D821" s="155"/>
      <c r="E821" s="155"/>
      <c r="F821" s="155"/>
      <c r="G821" s="155"/>
      <c r="H821" s="155"/>
      <c r="I821" s="155"/>
      <c r="J821" s="155"/>
      <c r="K821" s="155"/>
      <c r="L821" s="155"/>
      <c r="M821" s="155"/>
    </row>
    <row r="822" spans="3:13" ht="14.1" customHeight="1">
      <c r="C822" s="159"/>
      <c r="D822" s="155"/>
      <c r="E822" s="155"/>
      <c r="F822" s="155"/>
      <c r="G822" s="155"/>
      <c r="H822" s="155"/>
      <c r="I822" s="155"/>
      <c r="J822" s="155"/>
      <c r="K822" s="155"/>
      <c r="L822" s="155"/>
      <c r="M822" s="155"/>
    </row>
    <row r="823" spans="3:13" ht="14.1" customHeight="1">
      <c r="C823" s="159"/>
      <c r="D823" s="155"/>
      <c r="E823" s="155"/>
      <c r="F823" s="155"/>
      <c r="G823" s="155"/>
      <c r="H823" s="155"/>
      <c r="I823" s="155"/>
      <c r="J823" s="155"/>
      <c r="K823" s="155"/>
      <c r="L823" s="155"/>
      <c r="M823" s="155"/>
    </row>
    <row r="824" spans="3:13" ht="14.1" customHeight="1">
      <c r="C824" s="159"/>
      <c r="D824" s="155"/>
      <c r="E824" s="155"/>
      <c r="F824" s="155"/>
      <c r="G824" s="155"/>
      <c r="H824" s="155"/>
      <c r="I824" s="155"/>
      <c r="J824" s="155"/>
      <c r="K824" s="155"/>
      <c r="L824" s="155"/>
      <c r="M824" s="155"/>
    </row>
    <row r="825" spans="3:13" ht="14.1" customHeight="1">
      <c r="C825" s="159"/>
      <c r="D825" s="155"/>
      <c r="E825" s="155"/>
      <c r="F825" s="155"/>
      <c r="G825" s="155"/>
      <c r="H825" s="155"/>
      <c r="I825" s="155"/>
      <c r="J825" s="155"/>
      <c r="K825" s="155"/>
      <c r="L825" s="155"/>
      <c r="M825" s="155"/>
    </row>
    <row r="826" spans="3:13" ht="14.1" customHeight="1">
      <c r="C826" s="159"/>
      <c r="D826" s="155"/>
      <c r="E826" s="155"/>
      <c r="F826" s="155"/>
      <c r="G826" s="155"/>
      <c r="H826" s="155"/>
      <c r="I826" s="155"/>
      <c r="J826" s="155"/>
      <c r="K826" s="155"/>
      <c r="L826" s="155"/>
      <c r="M826" s="155"/>
    </row>
    <row r="827" spans="3:13" ht="14.1" customHeight="1">
      <c r="C827" s="159"/>
      <c r="D827" s="155"/>
      <c r="E827" s="155"/>
      <c r="F827" s="155"/>
      <c r="G827" s="155"/>
      <c r="H827" s="155"/>
      <c r="I827" s="155"/>
      <c r="J827" s="155"/>
      <c r="K827" s="155"/>
      <c r="L827" s="155"/>
      <c r="M827" s="155"/>
    </row>
    <row r="828" spans="3:13" ht="14.1" customHeight="1">
      <c r="C828" s="159"/>
      <c r="D828" s="155"/>
      <c r="E828" s="155"/>
      <c r="F828" s="155"/>
      <c r="G828" s="155"/>
      <c r="H828" s="155"/>
      <c r="I828" s="155"/>
      <c r="J828" s="155"/>
      <c r="K828" s="155"/>
      <c r="L828" s="155"/>
      <c r="M828" s="155"/>
    </row>
    <row r="829" spans="3:13" ht="14.1" customHeight="1">
      <c r="C829" s="159"/>
      <c r="D829" s="155"/>
      <c r="E829" s="155"/>
      <c r="F829" s="155"/>
      <c r="G829" s="155"/>
      <c r="H829" s="155"/>
      <c r="I829" s="155"/>
      <c r="J829" s="155"/>
      <c r="K829" s="155"/>
      <c r="L829" s="155"/>
      <c r="M829" s="155"/>
    </row>
    <row r="830" spans="3:13" ht="14.1" customHeight="1">
      <c r="C830" s="159"/>
      <c r="D830" s="155"/>
      <c r="E830" s="155"/>
      <c r="F830" s="155"/>
      <c r="G830" s="155"/>
      <c r="H830" s="155"/>
      <c r="I830" s="155"/>
      <c r="J830" s="155"/>
      <c r="K830" s="155"/>
      <c r="L830" s="155"/>
      <c r="M830" s="155"/>
    </row>
    <row r="831" spans="3:13" ht="14.1" customHeight="1">
      <c r="C831" s="159"/>
      <c r="D831" s="155"/>
      <c r="E831" s="155"/>
      <c r="F831" s="155"/>
      <c r="G831" s="155"/>
      <c r="H831" s="155"/>
      <c r="I831" s="155"/>
      <c r="J831" s="155"/>
      <c r="K831" s="155"/>
      <c r="L831" s="155"/>
      <c r="M831" s="155"/>
    </row>
    <row r="832" spans="3:13" ht="14.1" customHeight="1">
      <c r="C832" s="159"/>
      <c r="D832" s="155"/>
      <c r="E832" s="155"/>
      <c r="F832" s="155"/>
      <c r="G832" s="155"/>
      <c r="H832" s="155"/>
      <c r="I832" s="155"/>
      <c r="J832" s="155"/>
      <c r="K832" s="155"/>
      <c r="L832" s="155"/>
      <c r="M832" s="155"/>
    </row>
    <row r="833" spans="3:13" ht="14.1" customHeight="1">
      <c r="C833" s="159"/>
      <c r="D833" s="155"/>
      <c r="E833" s="155"/>
      <c r="F833" s="155"/>
      <c r="G833" s="155"/>
      <c r="H833" s="155"/>
      <c r="I833" s="155"/>
      <c r="J833" s="155"/>
      <c r="K833" s="155"/>
      <c r="L833" s="155"/>
      <c r="M833" s="155"/>
    </row>
    <row r="834" spans="3:13" ht="14.1" customHeight="1">
      <c r="C834" s="159"/>
      <c r="D834" s="155"/>
      <c r="E834" s="155"/>
      <c r="F834" s="155"/>
      <c r="G834" s="155"/>
      <c r="H834" s="155"/>
      <c r="I834" s="155"/>
      <c r="J834" s="155"/>
      <c r="K834" s="155"/>
      <c r="L834" s="155"/>
      <c r="M834" s="155"/>
    </row>
    <row r="835" spans="3:13" ht="14.1" customHeight="1">
      <c r="C835" s="159"/>
      <c r="D835" s="155"/>
      <c r="E835" s="155"/>
      <c r="F835" s="155"/>
      <c r="G835" s="155"/>
      <c r="H835" s="155"/>
      <c r="I835" s="155"/>
      <c r="J835" s="155"/>
      <c r="K835" s="155"/>
      <c r="L835" s="155"/>
      <c r="M835" s="155"/>
    </row>
    <row r="836" spans="3:13" ht="14.1" customHeight="1">
      <c r="C836" s="159"/>
      <c r="D836" s="155"/>
      <c r="E836" s="155"/>
      <c r="F836" s="155"/>
      <c r="G836" s="155"/>
      <c r="H836" s="155"/>
      <c r="I836" s="155"/>
      <c r="J836" s="155"/>
      <c r="K836" s="155"/>
      <c r="L836" s="155"/>
      <c r="M836" s="155"/>
    </row>
    <row r="837" spans="3:13" ht="14.1" customHeight="1">
      <c r="C837" s="159"/>
      <c r="D837" s="155"/>
      <c r="E837" s="155"/>
      <c r="F837" s="155"/>
      <c r="G837" s="155"/>
      <c r="H837" s="155"/>
      <c r="I837" s="155"/>
      <c r="J837" s="155"/>
      <c r="K837" s="155"/>
      <c r="L837" s="155"/>
      <c r="M837" s="155"/>
    </row>
    <row r="838" spans="3:13" ht="14.1" customHeight="1">
      <c r="C838" s="159"/>
      <c r="D838" s="155"/>
      <c r="E838" s="155"/>
      <c r="F838" s="155"/>
      <c r="G838" s="155"/>
      <c r="H838" s="155"/>
      <c r="I838" s="155"/>
      <c r="J838" s="155"/>
      <c r="K838" s="155"/>
      <c r="L838" s="155"/>
      <c r="M838" s="155"/>
    </row>
    <row r="839" spans="3:13" ht="14.1" customHeight="1">
      <c r="C839" s="159"/>
      <c r="D839" s="155"/>
      <c r="E839" s="155"/>
      <c r="F839" s="155"/>
      <c r="G839" s="155"/>
      <c r="H839" s="155"/>
      <c r="I839" s="155"/>
      <c r="J839" s="155"/>
      <c r="K839" s="155"/>
      <c r="L839" s="155"/>
      <c r="M839" s="155"/>
    </row>
    <row r="840" spans="3:13" ht="14.1" customHeight="1">
      <c r="C840" s="159"/>
      <c r="D840" s="155"/>
      <c r="E840" s="155"/>
      <c r="F840" s="155"/>
      <c r="G840" s="155"/>
      <c r="H840" s="155"/>
      <c r="I840" s="155"/>
      <c r="J840" s="155"/>
      <c r="K840" s="155"/>
      <c r="L840" s="155"/>
      <c r="M840" s="155"/>
    </row>
    <row r="841" spans="3:13" ht="14.1" customHeight="1">
      <c r="C841" s="159"/>
      <c r="D841" s="155"/>
      <c r="E841" s="155"/>
      <c r="F841" s="155"/>
      <c r="G841" s="155"/>
      <c r="H841" s="155"/>
      <c r="I841" s="155"/>
      <c r="J841" s="155"/>
      <c r="K841" s="155"/>
      <c r="L841" s="155"/>
      <c r="M841" s="155"/>
    </row>
    <row r="842" spans="3:13" ht="14.1" customHeight="1">
      <c r="C842" s="159"/>
      <c r="D842" s="155"/>
      <c r="E842" s="155"/>
      <c r="F842" s="155"/>
      <c r="G842" s="155"/>
      <c r="H842" s="155"/>
      <c r="I842" s="155"/>
      <c r="J842" s="155"/>
      <c r="K842" s="155"/>
      <c r="L842" s="155"/>
      <c r="M842" s="155"/>
    </row>
    <row r="843" spans="3:13" ht="14.1" customHeight="1">
      <c r="C843" s="159"/>
      <c r="D843" s="155"/>
      <c r="E843" s="155"/>
      <c r="F843" s="155"/>
      <c r="G843" s="155"/>
      <c r="H843" s="155"/>
      <c r="I843" s="155"/>
      <c r="J843" s="155"/>
      <c r="K843" s="155"/>
      <c r="L843" s="155"/>
      <c r="M843" s="155"/>
    </row>
    <row r="844" spans="3:13" ht="14.1" customHeight="1">
      <c r="C844" s="159"/>
      <c r="D844" s="155"/>
      <c r="E844" s="155"/>
      <c r="F844" s="155"/>
      <c r="G844" s="155"/>
      <c r="H844" s="155"/>
      <c r="I844" s="155"/>
      <c r="J844" s="155"/>
      <c r="K844" s="155"/>
      <c r="L844" s="155"/>
      <c r="M844" s="155"/>
    </row>
    <row r="845" spans="3:13" ht="14.1" customHeight="1">
      <c r="C845" s="159"/>
      <c r="D845" s="155"/>
      <c r="E845" s="155"/>
      <c r="F845" s="155"/>
      <c r="G845" s="155"/>
      <c r="H845" s="155"/>
      <c r="I845" s="155"/>
      <c r="J845" s="155"/>
      <c r="K845" s="155"/>
      <c r="L845" s="155"/>
      <c r="M845" s="155"/>
    </row>
    <row r="846" spans="3:13" ht="14.1" customHeight="1">
      <c r="C846" s="159"/>
      <c r="D846" s="155"/>
      <c r="E846" s="155"/>
      <c r="F846" s="155"/>
      <c r="G846" s="155"/>
      <c r="H846" s="155"/>
      <c r="I846" s="155"/>
      <c r="J846" s="155"/>
      <c r="K846" s="155"/>
      <c r="L846" s="155"/>
      <c r="M846" s="155"/>
    </row>
    <row r="847" spans="3:13" ht="14.1" customHeight="1">
      <c r="C847" s="159"/>
      <c r="D847" s="155"/>
      <c r="E847" s="155"/>
      <c r="F847" s="155"/>
      <c r="G847" s="155"/>
      <c r="H847" s="155"/>
      <c r="I847" s="155"/>
      <c r="J847" s="155"/>
      <c r="K847" s="155"/>
      <c r="L847" s="155"/>
      <c r="M847" s="155"/>
    </row>
    <row r="848" spans="3:13" ht="14.1" customHeight="1">
      <c r="C848" s="159"/>
      <c r="D848" s="155"/>
      <c r="E848" s="155"/>
      <c r="F848" s="155"/>
      <c r="G848" s="155"/>
      <c r="H848" s="155"/>
      <c r="I848" s="155"/>
      <c r="J848" s="155"/>
      <c r="K848" s="155"/>
      <c r="L848" s="155"/>
      <c r="M848" s="155"/>
    </row>
    <row r="849" spans="3:13" ht="14.1" customHeight="1">
      <c r="C849" s="159"/>
      <c r="D849" s="155"/>
      <c r="E849" s="155"/>
      <c r="F849" s="155"/>
      <c r="G849" s="155"/>
      <c r="H849" s="155"/>
      <c r="I849" s="155"/>
      <c r="J849" s="155"/>
      <c r="K849" s="155"/>
      <c r="L849" s="155"/>
      <c r="M849" s="155"/>
    </row>
    <row r="850" spans="3:13" ht="14.1" customHeight="1">
      <c r="C850" s="159"/>
      <c r="D850" s="155"/>
      <c r="E850" s="155"/>
      <c r="F850" s="155"/>
      <c r="G850" s="155"/>
      <c r="H850" s="155"/>
      <c r="I850" s="155"/>
      <c r="J850" s="155"/>
      <c r="K850" s="155"/>
      <c r="L850" s="155"/>
      <c r="M850" s="155"/>
    </row>
    <row r="851" spans="3:13" ht="14.1" customHeight="1">
      <c r="C851" s="159"/>
      <c r="D851" s="155"/>
      <c r="E851" s="155"/>
      <c r="F851" s="155"/>
      <c r="G851" s="155"/>
      <c r="H851" s="155"/>
      <c r="I851" s="155"/>
      <c r="J851" s="155"/>
      <c r="K851" s="155"/>
      <c r="L851" s="155"/>
      <c r="M851" s="155"/>
    </row>
    <row r="852" spans="3:13" ht="14.1" customHeight="1">
      <c r="C852" s="159"/>
      <c r="D852" s="155"/>
      <c r="E852" s="155"/>
      <c r="F852" s="155"/>
      <c r="G852" s="155"/>
      <c r="H852" s="155"/>
      <c r="I852" s="155"/>
      <c r="J852" s="155"/>
      <c r="K852" s="155"/>
      <c r="L852" s="155"/>
      <c r="M852" s="155"/>
    </row>
    <row r="853" spans="3:13" ht="14.1" customHeight="1">
      <c r="C853" s="159"/>
      <c r="D853" s="155"/>
      <c r="E853" s="155"/>
      <c r="F853" s="155"/>
      <c r="G853" s="155"/>
      <c r="H853" s="155"/>
      <c r="I853" s="155"/>
      <c r="J853" s="155"/>
      <c r="K853" s="155"/>
      <c r="L853" s="155"/>
      <c r="M853" s="155"/>
    </row>
    <row r="854" spans="3:13" ht="14.1" customHeight="1">
      <c r="C854" s="159"/>
      <c r="D854" s="155"/>
      <c r="E854" s="155"/>
      <c r="F854" s="155"/>
      <c r="G854" s="155"/>
      <c r="H854" s="155"/>
      <c r="I854" s="155"/>
      <c r="J854" s="155"/>
      <c r="K854" s="155"/>
      <c r="L854" s="155"/>
      <c r="M854" s="155"/>
    </row>
    <row r="855" spans="3:13" ht="14.1" customHeight="1">
      <c r="C855" s="159"/>
      <c r="D855" s="155"/>
      <c r="E855" s="155"/>
      <c r="F855" s="155"/>
      <c r="G855" s="155"/>
      <c r="H855" s="155"/>
      <c r="I855" s="155"/>
      <c r="J855" s="155"/>
      <c r="K855" s="155"/>
      <c r="L855" s="155"/>
      <c r="M855" s="155"/>
    </row>
    <row r="856" spans="3:13" ht="14.1" customHeight="1">
      <c r="C856" s="159"/>
      <c r="D856" s="155"/>
      <c r="E856" s="155"/>
      <c r="F856" s="155"/>
      <c r="G856" s="155"/>
      <c r="H856" s="155"/>
      <c r="I856" s="155"/>
      <c r="J856" s="155"/>
      <c r="K856" s="155"/>
      <c r="L856" s="155"/>
      <c r="M856" s="155"/>
    </row>
    <row r="857" spans="3:13" ht="14.1" customHeight="1">
      <c r="C857" s="159"/>
      <c r="D857" s="155"/>
      <c r="E857" s="155"/>
      <c r="F857" s="155"/>
      <c r="G857" s="155"/>
      <c r="H857" s="155"/>
      <c r="I857" s="155"/>
      <c r="J857" s="155"/>
      <c r="K857" s="155"/>
      <c r="L857" s="155"/>
      <c r="M857" s="155"/>
    </row>
    <row r="858" spans="3:13" ht="14.1" customHeight="1">
      <c r="C858" s="159"/>
      <c r="D858" s="155"/>
      <c r="E858" s="155"/>
      <c r="F858" s="155"/>
      <c r="G858" s="155"/>
      <c r="H858" s="155"/>
      <c r="I858" s="155"/>
      <c r="J858" s="155"/>
      <c r="K858" s="155"/>
      <c r="L858" s="155"/>
      <c r="M858" s="155"/>
    </row>
    <row r="859" spans="3:13" ht="14.1" customHeight="1">
      <c r="C859" s="159"/>
      <c r="D859" s="155"/>
      <c r="E859" s="155"/>
      <c r="F859" s="155"/>
      <c r="G859" s="155"/>
      <c r="H859" s="155"/>
      <c r="I859" s="155"/>
      <c r="J859" s="155"/>
      <c r="K859" s="155"/>
      <c r="L859" s="155"/>
      <c r="M859" s="155"/>
    </row>
    <row r="860" spans="3:13" ht="14.1" customHeight="1">
      <c r="C860" s="159"/>
      <c r="D860" s="155"/>
      <c r="E860" s="155"/>
      <c r="F860" s="155"/>
      <c r="G860" s="155"/>
      <c r="H860" s="155"/>
      <c r="I860" s="155"/>
      <c r="J860" s="155"/>
      <c r="K860" s="155"/>
      <c r="L860" s="155"/>
      <c r="M860" s="155"/>
    </row>
    <row r="861" spans="3:13" ht="14.1" customHeight="1">
      <c r="C861" s="159"/>
      <c r="D861" s="155"/>
      <c r="E861" s="155"/>
      <c r="F861" s="155"/>
      <c r="G861" s="155"/>
      <c r="H861" s="155"/>
      <c r="I861" s="155"/>
      <c r="J861" s="155"/>
      <c r="K861" s="155"/>
      <c r="L861" s="155"/>
      <c r="M861" s="155"/>
    </row>
    <row r="862" spans="3:13" ht="14.1" customHeight="1">
      <c r="C862" s="159"/>
      <c r="D862" s="155"/>
      <c r="E862" s="155"/>
      <c r="F862" s="155"/>
      <c r="G862" s="155"/>
      <c r="H862" s="155"/>
      <c r="I862" s="155"/>
      <c r="J862" s="155"/>
      <c r="K862" s="155"/>
      <c r="L862" s="155"/>
      <c r="M862" s="155"/>
    </row>
    <row r="863" spans="3:13" ht="14.1" customHeight="1">
      <c r="C863" s="159"/>
      <c r="D863" s="155"/>
      <c r="E863" s="155"/>
      <c r="F863" s="155"/>
      <c r="G863" s="155"/>
      <c r="H863" s="155"/>
      <c r="I863" s="155"/>
      <c r="J863" s="155"/>
      <c r="K863" s="155"/>
      <c r="L863" s="155"/>
      <c r="M863" s="155"/>
    </row>
    <row r="864" spans="3:13" ht="14.1" customHeight="1">
      <c r="C864" s="159"/>
      <c r="D864" s="155"/>
      <c r="E864" s="155"/>
      <c r="F864" s="155"/>
      <c r="G864" s="155"/>
      <c r="H864" s="155"/>
      <c r="I864" s="155"/>
      <c r="J864" s="155"/>
      <c r="K864" s="155"/>
      <c r="L864" s="155"/>
      <c r="M864" s="155"/>
    </row>
    <row r="865" spans="3:13" ht="14.1" customHeight="1">
      <c r="C865" s="159"/>
      <c r="D865" s="155"/>
      <c r="E865" s="155"/>
      <c r="F865" s="155"/>
      <c r="G865" s="155"/>
      <c r="H865" s="155"/>
      <c r="I865" s="155"/>
      <c r="J865" s="155"/>
      <c r="K865" s="155"/>
      <c r="L865" s="155"/>
      <c r="M865" s="155"/>
    </row>
    <row r="866" spans="3:13" ht="14.1" customHeight="1">
      <c r="C866" s="159"/>
      <c r="D866" s="155"/>
      <c r="E866" s="155"/>
      <c r="F866" s="155"/>
      <c r="G866" s="155"/>
      <c r="H866" s="155"/>
      <c r="I866" s="155"/>
      <c r="J866" s="155"/>
      <c r="K866" s="155"/>
      <c r="L866" s="155"/>
      <c r="M866" s="155"/>
    </row>
    <row r="867" spans="3:13" ht="14.1" customHeight="1">
      <c r="C867" s="159"/>
      <c r="D867" s="155"/>
      <c r="E867" s="155"/>
      <c r="F867" s="155"/>
      <c r="G867" s="155"/>
      <c r="H867" s="155"/>
      <c r="I867" s="155"/>
      <c r="J867" s="155"/>
      <c r="K867" s="155"/>
      <c r="L867" s="155"/>
      <c r="M867" s="155"/>
    </row>
    <row r="868" spans="3:13" ht="14.1" customHeight="1">
      <c r="C868" s="159"/>
      <c r="D868" s="155"/>
      <c r="E868" s="155"/>
      <c r="F868" s="155"/>
      <c r="G868" s="155"/>
      <c r="H868" s="155"/>
      <c r="I868" s="155"/>
      <c r="J868" s="155"/>
      <c r="K868" s="155"/>
      <c r="L868" s="155"/>
      <c r="M868" s="155"/>
    </row>
    <row r="869" spans="3:13" ht="14.1" customHeight="1">
      <c r="C869" s="159"/>
      <c r="D869" s="155"/>
      <c r="E869" s="155"/>
      <c r="F869" s="155"/>
      <c r="G869" s="155"/>
      <c r="H869" s="155"/>
      <c r="I869" s="155"/>
      <c r="J869" s="155"/>
      <c r="K869" s="155"/>
      <c r="L869" s="155"/>
      <c r="M869" s="155"/>
    </row>
    <row r="870" spans="3:13" ht="14.1" customHeight="1">
      <c r="C870" s="159"/>
      <c r="D870" s="155"/>
      <c r="E870" s="155"/>
      <c r="F870" s="155"/>
      <c r="G870" s="155"/>
      <c r="H870" s="155"/>
      <c r="I870" s="155"/>
      <c r="J870" s="155"/>
      <c r="K870" s="155"/>
      <c r="L870" s="155"/>
      <c r="M870" s="155"/>
    </row>
    <row r="871" spans="3:13" ht="14.1" customHeight="1">
      <c r="C871" s="159"/>
      <c r="D871" s="155"/>
      <c r="E871" s="155"/>
      <c r="F871" s="155"/>
      <c r="G871" s="155"/>
      <c r="H871" s="155"/>
      <c r="I871" s="155"/>
      <c r="J871" s="155"/>
      <c r="K871" s="155"/>
      <c r="L871" s="155"/>
      <c r="M871" s="155"/>
    </row>
    <row r="872" spans="3:13" ht="14.1" customHeight="1">
      <c r="C872" s="159"/>
      <c r="D872" s="155"/>
      <c r="E872" s="155"/>
      <c r="F872" s="155"/>
      <c r="G872" s="155"/>
      <c r="H872" s="155"/>
      <c r="I872" s="155"/>
      <c r="J872" s="155"/>
      <c r="K872" s="155"/>
      <c r="L872" s="155"/>
      <c r="M872" s="155"/>
    </row>
    <row r="873" spans="3:13" ht="14.1" customHeight="1">
      <c r="C873" s="159"/>
      <c r="D873" s="155"/>
      <c r="E873" s="155"/>
      <c r="F873" s="155"/>
      <c r="G873" s="155"/>
      <c r="H873" s="155"/>
      <c r="I873" s="155"/>
      <c r="J873" s="155"/>
      <c r="K873" s="155"/>
      <c r="L873" s="155"/>
      <c r="M873" s="155"/>
    </row>
    <row r="874" spans="3:13" ht="14.1" customHeight="1">
      <c r="C874" s="159"/>
      <c r="D874" s="155"/>
      <c r="E874" s="155"/>
      <c r="F874" s="155"/>
      <c r="G874" s="155"/>
      <c r="H874" s="155"/>
      <c r="I874" s="155"/>
      <c r="J874" s="155"/>
      <c r="K874" s="155"/>
      <c r="L874" s="155"/>
      <c r="M874" s="155"/>
    </row>
    <row r="875" spans="3:13" ht="14.1" customHeight="1">
      <c r="C875" s="159"/>
      <c r="D875" s="155"/>
      <c r="E875" s="155"/>
      <c r="F875" s="155"/>
      <c r="G875" s="155"/>
      <c r="H875" s="155"/>
      <c r="I875" s="155"/>
      <c r="J875" s="155"/>
      <c r="K875" s="155"/>
      <c r="L875" s="155"/>
      <c r="M875" s="155"/>
    </row>
    <row r="876" spans="3:13" ht="14.1" customHeight="1">
      <c r="C876" s="159"/>
      <c r="D876" s="155"/>
      <c r="E876" s="155"/>
      <c r="F876" s="155"/>
      <c r="G876" s="155"/>
      <c r="H876" s="155"/>
      <c r="I876" s="155"/>
      <c r="J876" s="155"/>
      <c r="K876" s="155"/>
      <c r="L876" s="155"/>
      <c r="M876" s="155"/>
    </row>
    <row r="877" spans="3:13" ht="14.1" customHeight="1">
      <c r="C877" s="159"/>
      <c r="D877" s="155"/>
      <c r="E877" s="155"/>
      <c r="F877" s="155"/>
      <c r="G877" s="155"/>
      <c r="H877" s="155"/>
      <c r="I877" s="155"/>
      <c r="J877" s="155"/>
      <c r="K877" s="155"/>
      <c r="L877" s="155"/>
      <c r="M877" s="155"/>
    </row>
    <row r="878" spans="3:13" ht="14.1" customHeight="1">
      <c r="C878" s="159"/>
      <c r="D878" s="155"/>
      <c r="E878" s="155"/>
      <c r="F878" s="155"/>
      <c r="G878" s="155"/>
      <c r="H878" s="155"/>
      <c r="I878" s="155"/>
      <c r="J878" s="155"/>
      <c r="K878" s="155"/>
      <c r="L878" s="155"/>
      <c r="M878" s="155"/>
    </row>
    <row r="879" spans="3:13" ht="14.1" customHeight="1">
      <c r="C879" s="159"/>
      <c r="D879" s="155"/>
      <c r="E879" s="155"/>
      <c r="F879" s="155"/>
      <c r="G879" s="155"/>
      <c r="H879" s="155"/>
      <c r="I879" s="155"/>
      <c r="J879" s="155"/>
      <c r="K879" s="155"/>
      <c r="L879" s="155"/>
      <c r="M879" s="155"/>
    </row>
    <row r="880" spans="3:13" ht="14.1" customHeight="1">
      <c r="C880" s="159"/>
      <c r="D880" s="155"/>
      <c r="E880" s="155"/>
      <c r="F880" s="155"/>
      <c r="G880" s="155"/>
      <c r="H880" s="155"/>
      <c r="I880" s="155"/>
      <c r="J880" s="155"/>
      <c r="K880" s="155"/>
      <c r="L880" s="155"/>
      <c r="M880" s="155"/>
    </row>
    <row r="881" spans="3:13" ht="14.1" customHeight="1">
      <c r="C881" s="159"/>
      <c r="D881" s="155"/>
      <c r="E881" s="155"/>
      <c r="F881" s="155"/>
      <c r="G881" s="155"/>
      <c r="H881" s="155"/>
      <c r="I881" s="155"/>
      <c r="J881" s="155"/>
      <c r="K881" s="155"/>
      <c r="L881" s="155"/>
      <c r="M881" s="155"/>
    </row>
    <row r="882" spans="3:13" ht="14.1" customHeight="1">
      <c r="C882" s="159"/>
      <c r="D882" s="155"/>
      <c r="E882" s="155"/>
      <c r="F882" s="155"/>
      <c r="G882" s="155"/>
      <c r="H882" s="155"/>
      <c r="I882" s="155"/>
      <c r="J882" s="155"/>
      <c r="K882" s="155"/>
      <c r="L882" s="155"/>
      <c r="M882" s="155"/>
    </row>
    <row r="883" spans="3:13" ht="14.1" customHeight="1">
      <c r="C883" s="159"/>
      <c r="D883" s="155"/>
      <c r="E883" s="155"/>
      <c r="F883" s="155"/>
      <c r="G883" s="155"/>
      <c r="H883" s="155"/>
      <c r="I883" s="155"/>
      <c r="J883" s="155"/>
      <c r="K883" s="155"/>
      <c r="L883" s="155"/>
      <c r="M883" s="155"/>
    </row>
  </sheetData>
  <protectedRanges>
    <protectedRange algorithmName="SHA-512" hashValue="cR6hX/ezBuP67ZlK3HPGDp3VIJdbTswY9rUgXSiwOwrOpmlnKLf3fS9lKGfPvtHh3x+bMzLiWPUgs7QR+kdy8Q==" saltValue="FCMQ9DgbrGg7+F6mrMnr5Q==" spinCount="100000" sqref="C3:M78" name="Bereik1"/>
  </protectedRanges>
  <sortState xmlns:xlrd2="http://schemas.microsoft.com/office/spreadsheetml/2017/richdata2" ref="B3:M53">
    <sortCondition ref="B1:B53"/>
  </sortState>
  <pageMargins left="0.7" right="0.7" top="0.75" bottom="0.75" header="0.3" footer="0.3"/>
  <pageSetup paperSize="9" orientation="portrait" verticalDpi="300" r:id="rId1"/>
  <ignoredErrors>
    <ignoredError sqref="C11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topLeftCell="A13" zoomScale="110" zoomScaleNormal="110" workbookViewId="0">
      <selection activeCell="P55" sqref="P55:P56"/>
    </sheetView>
  </sheetViews>
  <sheetFormatPr defaultColWidth="9.140625" defaultRowHeight="11.25"/>
  <cols>
    <col min="1" max="1" width="6" style="153" customWidth="1"/>
    <col min="2" max="2" width="22.7109375" style="153" customWidth="1"/>
    <col min="3" max="7" width="9.140625" style="153"/>
    <col min="8" max="8" width="10.85546875" style="153" customWidth="1"/>
    <col min="9" max="16384" width="9.140625" style="153"/>
  </cols>
  <sheetData>
    <row r="1" spans="2:25" ht="14.1" customHeight="1"/>
    <row r="2" spans="2:25" ht="14.1" customHeight="1">
      <c r="C2" s="153" t="s">
        <v>130</v>
      </c>
      <c r="D2" s="153" t="s">
        <v>37</v>
      </c>
      <c r="E2" s="153" t="s">
        <v>38</v>
      </c>
      <c r="F2" s="153" t="s">
        <v>36</v>
      </c>
      <c r="H2" s="153" t="s">
        <v>166</v>
      </c>
      <c r="J2" s="205" t="s">
        <v>167</v>
      </c>
      <c r="K2" s="206" t="s">
        <v>168</v>
      </c>
      <c r="L2" s="206" t="s">
        <v>169</v>
      </c>
      <c r="M2" s="206" t="s">
        <v>170</v>
      </c>
      <c r="N2" s="206" t="s">
        <v>171</v>
      </c>
      <c r="O2" s="206" t="s">
        <v>172</v>
      </c>
      <c r="P2" s="206" t="s">
        <v>110</v>
      </c>
      <c r="Q2" s="206" t="s">
        <v>111</v>
      </c>
      <c r="R2" s="206" t="s">
        <v>112</v>
      </c>
      <c r="S2" s="206" t="s">
        <v>113</v>
      </c>
      <c r="T2" s="206"/>
      <c r="U2" s="207" t="s">
        <v>165</v>
      </c>
    </row>
    <row r="3" spans="2:25" ht="14.1" customHeight="1">
      <c r="B3" s="154" t="str">
        <f>AanwezigReserve!D3</f>
        <v>Brigitte Raeymaekers</v>
      </c>
      <c r="C3" s="153">
        <f>samen!P3</f>
        <v>0</v>
      </c>
      <c r="D3" s="153">
        <f>samen!Q3</f>
        <v>0</v>
      </c>
      <c r="E3" s="153">
        <f>samen!R3</f>
        <v>1</v>
      </c>
      <c r="F3" s="153">
        <f>samen!S3</f>
        <v>0</v>
      </c>
      <c r="H3" s="153">
        <f>SUM(C3:F3)</f>
        <v>1</v>
      </c>
      <c r="J3" s="208">
        <v>12</v>
      </c>
      <c r="K3" s="153">
        <v>1</v>
      </c>
      <c r="O3"/>
      <c r="U3" s="209">
        <f>SUM(J3:S3)</f>
        <v>13</v>
      </c>
      <c r="X3" s="153" t="s">
        <v>193</v>
      </c>
    </row>
    <row r="4" spans="2:25" ht="14.1" customHeight="1">
      <c r="B4" s="154" t="str">
        <f>AanwezigReserve!D4</f>
        <v>Chris Cuppens</v>
      </c>
      <c r="C4" s="153">
        <f>samen!P4</f>
        <v>0</v>
      </c>
      <c r="D4" s="153">
        <f>samen!Q4</f>
        <v>3</v>
      </c>
      <c r="E4" s="153">
        <f>samen!R4</f>
        <v>0</v>
      </c>
      <c r="F4" s="153">
        <f>samen!S4</f>
        <v>0</v>
      </c>
      <c r="H4" s="153">
        <f>SUM(C4:F4)</f>
        <v>3</v>
      </c>
      <c r="J4" s="208"/>
      <c r="K4" s="153">
        <v>4</v>
      </c>
      <c r="O4"/>
      <c r="U4" s="209">
        <f t="shared" ref="U4:U51" si="0">SUM(J4:S4)</f>
        <v>4</v>
      </c>
      <c r="X4" s="153" t="s">
        <v>194</v>
      </c>
    </row>
    <row r="5" spans="2:25" ht="14.1" customHeight="1">
      <c r="B5" s="154" t="str">
        <f>AanwezigReserve!D5</f>
        <v>Christiane De Maesschalck</v>
      </c>
      <c r="C5" s="153">
        <f>samen!P5</f>
        <v>1</v>
      </c>
      <c r="D5" s="153">
        <f>samen!Q5</f>
        <v>0</v>
      </c>
      <c r="E5" s="153">
        <f>samen!R5</f>
        <v>0</v>
      </c>
      <c r="F5" s="153">
        <f>samen!S5</f>
        <v>1</v>
      </c>
      <c r="H5" s="153">
        <f>SUM(C5:F5)</f>
        <v>2</v>
      </c>
      <c r="J5" s="208">
        <v>5</v>
      </c>
      <c r="K5" s="153">
        <v>6</v>
      </c>
      <c r="O5"/>
      <c r="U5" s="209">
        <f t="shared" si="0"/>
        <v>11</v>
      </c>
      <c r="X5" s="153" t="s">
        <v>195</v>
      </c>
    </row>
    <row r="6" spans="2:25" ht="14.1" customHeight="1">
      <c r="B6" s="154" t="str">
        <f>AanwezigReserve!D6</f>
        <v>Daniel Bogaert</v>
      </c>
      <c r="C6" s="153">
        <f>samen!P6</f>
        <v>1</v>
      </c>
      <c r="D6" s="153">
        <f>samen!Q6</f>
        <v>4</v>
      </c>
      <c r="E6" s="153">
        <f>samen!R6</f>
        <v>0</v>
      </c>
      <c r="F6" s="153" t="str">
        <f>samen!S6</f>
        <v/>
      </c>
      <c r="H6" s="153">
        <f>SUM(C6:F6)</f>
        <v>5</v>
      </c>
      <c r="J6" s="208">
        <v>5</v>
      </c>
      <c r="K6" s="153">
        <v>8</v>
      </c>
      <c r="O6"/>
      <c r="U6" s="209">
        <f t="shared" si="0"/>
        <v>13</v>
      </c>
      <c r="X6" s="153" t="s">
        <v>196</v>
      </c>
    </row>
    <row r="7" spans="2:25" ht="14.1" customHeight="1">
      <c r="B7" s="154" t="str">
        <f>AanwezigReserve!D7</f>
        <v>Daniella Vanhalewyn</v>
      </c>
      <c r="C7" s="153">
        <f>samen!P7</f>
        <v>2</v>
      </c>
      <c r="D7" s="153">
        <f>samen!Q7</f>
        <v>0</v>
      </c>
      <c r="E7" s="153">
        <f>samen!R7</f>
        <v>0</v>
      </c>
      <c r="F7" s="153" t="str">
        <f>samen!S7</f>
        <v/>
      </c>
      <c r="H7" s="153">
        <f t="shared" ref="H7:H50" si="1">SUM(C7:F7)</f>
        <v>2</v>
      </c>
      <c r="J7" s="208">
        <v>3</v>
      </c>
      <c r="K7" s="153">
        <v>7</v>
      </c>
      <c r="O7"/>
      <c r="U7" s="209">
        <f t="shared" si="0"/>
        <v>10</v>
      </c>
      <c r="X7" s="153" t="s">
        <v>197</v>
      </c>
    </row>
    <row r="8" spans="2:25" ht="14.1" customHeight="1">
      <c r="B8" s="154" t="str">
        <f>AanwezigReserve!D8</f>
        <v>Dirk De Brabander</v>
      </c>
      <c r="C8" s="153">
        <f>samen!P8</f>
        <v>2</v>
      </c>
      <c r="D8" s="153">
        <f>samen!Q8</f>
        <v>0</v>
      </c>
      <c r="E8" s="153">
        <f>samen!R8</f>
        <v>0</v>
      </c>
      <c r="F8" s="153" t="str">
        <f>samen!S8</f>
        <v/>
      </c>
      <c r="H8" s="153">
        <f t="shared" si="1"/>
        <v>2</v>
      </c>
      <c r="J8" s="208">
        <v>2</v>
      </c>
      <c r="K8" s="153">
        <v>4</v>
      </c>
      <c r="O8"/>
      <c r="U8" s="209">
        <f t="shared" si="0"/>
        <v>6</v>
      </c>
      <c r="X8" s="153" t="s">
        <v>198</v>
      </c>
    </row>
    <row r="9" spans="2:25" ht="14.1" customHeight="1">
      <c r="B9" s="154" t="str">
        <f>AanwezigReserve!D9</f>
        <v>Dirk Desante</v>
      </c>
      <c r="C9" s="153">
        <f>samen!P9</f>
        <v>2</v>
      </c>
      <c r="D9" s="153">
        <f>samen!Q9</f>
        <v>4</v>
      </c>
      <c r="E9" s="153">
        <f>samen!R9</f>
        <v>1</v>
      </c>
      <c r="F9" s="153" t="str">
        <f>samen!S9</f>
        <v/>
      </c>
      <c r="H9" s="153">
        <f t="shared" si="1"/>
        <v>7</v>
      </c>
      <c r="J9" s="208">
        <v>5</v>
      </c>
      <c r="K9" s="153">
        <v>3</v>
      </c>
      <c r="O9"/>
      <c r="U9" s="209">
        <f t="shared" si="0"/>
        <v>8</v>
      </c>
      <c r="X9" s="153" t="s">
        <v>199</v>
      </c>
    </row>
    <row r="10" spans="2:25" ht="14.1" customHeight="1">
      <c r="B10" s="154" t="str">
        <f>AanwezigReserve!D10</f>
        <v>Etienne Saveyn</v>
      </c>
      <c r="C10" s="153">
        <f>samen!P10</f>
        <v>0</v>
      </c>
      <c r="D10" s="153">
        <f>samen!Q10</f>
        <v>0</v>
      </c>
      <c r="E10" s="153">
        <f>samen!R10</f>
        <v>0</v>
      </c>
      <c r="F10" s="153" t="str">
        <f>samen!S10</f>
        <v/>
      </c>
      <c r="H10" s="153">
        <f t="shared" si="1"/>
        <v>0</v>
      </c>
      <c r="J10" s="208">
        <v>6</v>
      </c>
      <c r="K10" s="153">
        <v>1</v>
      </c>
      <c r="O10"/>
      <c r="U10" s="209">
        <f t="shared" si="0"/>
        <v>7</v>
      </c>
      <c r="X10" s="153" t="s">
        <v>200</v>
      </c>
    </row>
    <row r="11" spans="2:25" ht="14.1" customHeight="1">
      <c r="B11" s="154" t="str">
        <f>AanwezigReserve!D11</f>
        <v>Filip Dejans</v>
      </c>
      <c r="C11" s="153">
        <f>samen!P11</f>
        <v>1</v>
      </c>
      <c r="D11" s="153">
        <f>samen!Q11</f>
        <v>1</v>
      </c>
      <c r="E11" s="153">
        <f>samen!R11</f>
        <v>4</v>
      </c>
      <c r="F11" s="153">
        <f>samen!S11</f>
        <v>2</v>
      </c>
      <c r="H11" s="153">
        <f t="shared" si="1"/>
        <v>8</v>
      </c>
      <c r="J11" s="208">
        <v>5</v>
      </c>
      <c r="K11" s="153">
        <v>7</v>
      </c>
      <c r="O11"/>
      <c r="U11" s="209">
        <f t="shared" si="0"/>
        <v>12</v>
      </c>
      <c r="X11" s="153" t="s">
        <v>201</v>
      </c>
    </row>
    <row r="12" spans="2:25" ht="14.1" customHeight="1">
      <c r="B12" s="154" t="str">
        <f>AanwezigReserve!D12</f>
        <v>Francine Thienpont</v>
      </c>
      <c r="C12" s="153">
        <f>samen!P12</f>
        <v>3</v>
      </c>
      <c r="D12" s="153">
        <f>samen!Q12</f>
        <v>0</v>
      </c>
      <c r="E12" s="153">
        <f>samen!R12</f>
        <v>0</v>
      </c>
      <c r="F12" s="153" t="str">
        <f>samen!S12</f>
        <v/>
      </c>
      <c r="H12" s="153">
        <f t="shared" si="1"/>
        <v>3</v>
      </c>
      <c r="J12" s="208">
        <v>5</v>
      </c>
      <c r="K12" s="153">
        <v>5</v>
      </c>
      <c r="O12"/>
      <c r="U12" s="209">
        <f t="shared" si="0"/>
        <v>10</v>
      </c>
      <c r="X12" s="153" t="s">
        <v>202</v>
      </c>
    </row>
    <row r="13" spans="2:25" ht="14.1" customHeight="1">
      <c r="B13" s="154" t="str">
        <f>AanwezigReserve!D13</f>
        <v>Frans Catteeuw</v>
      </c>
      <c r="C13" s="153">
        <f>samen!P13</f>
        <v>3</v>
      </c>
      <c r="D13" s="153">
        <f>samen!Q13</f>
        <v>0</v>
      </c>
      <c r="E13" s="153">
        <f>samen!R13</f>
        <v>3</v>
      </c>
      <c r="F13" s="153" t="str">
        <f>samen!S13</f>
        <v/>
      </c>
      <c r="H13" s="153">
        <f t="shared" si="1"/>
        <v>6</v>
      </c>
      <c r="J13" s="208"/>
      <c r="K13" s="153">
        <v>0</v>
      </c>
      <c r="O13"/>
      <c r="U13" s="209">
        <f t="shared" si="0"/>
        <v>0</v>
      </c>
      <c r="X13" s="153" t="s">
        <v>203</v>
      </c>
      <c r="Y13" s="210"/>
    </row>
    <row r="14" spans="2:25" ht="14.1" customHeight="1">
      <c r="B14" s="154" t="str">
        <f>AanwezigReserve!D14</f>
        <v>Freddy Moerman</v>
      </c>
      <c r="C14" s="153" t="str">
        <f>samen!P14</f>
        <v/>
      </c>
      <c r="D14" s="153" t="str">
        <f>samen!Q14</f>
        <v/>
      </c>
      <c r="E14" s="153" t="str">
        <f>samen!R14</f>
        <v/>
      </c>
      <c r="F14" s="153" t="str">
        <f>samen!S14</f>
        <v/>
      </c>
      <c r="H14" s="153">
        <f t="shared" si="1"/>
        <v>0</v>
      </c>
      <c r="J14" s="208">
        <v>4</v>
      </c>
      <c r="K14" s="153">
        <v>0</v>
      </c>
      <c r="O14"/>
      <c r="U14" s="209">
        <f t="shared" si="0"/>
        <v>4</v>
      </c>
      <c r="X14" s="153" t="s">
        <v>204</v>
      </c>
    </row>
    <row r="15" spans="2:25" ht="14.1" customHeight="1">
      <c r="B15" s="154" t="str">
        <f>AanwezigReserve!D15</f>
        <v>Georges Tollenaere</v>
      </c>
      <c r="C15" s="153">
        <f>samen!P15</f>
        <v>1</v>
      </c>
      <c r="D15" s="153">
        <f>samen!Q15</f>
        <v>2</v>
      </c>
      <c r="E15" s="153">
        <f>samen!R15</f>
        <v>3</v>
      </c>
      <c r="F15" s="153" t="str">
        <f>samen!S15</f>
        <v/>
      </c>
      <c r="H15" s="153">
        <f t="shared" si="1"/>
        <v>6</v>
      </c>
      <c r="J15" s="208"/>
      <c r="K15" s="153">
        <v>0</v>
      </c>
      <c r="O15"/>
      <c r="U15" s="209">
        <f t="shared" si="0"/>
        <v>0</v>
      </c>
      <c r="X15" s="153" t="s">
        <v>205</v>
      </c>
    </row>
    <row r="16" spans="2:25" ht="14.1" customHeight="1">
      <c r="B16" s="154" t="str">
        <f>AanwezigReserve!D16</f>
        <v>Gina Van Den Bossche</v>
      </c>
      <c r="C16" s="153" t="str">
        <f>samen!P16</f>
        <v/>
      </c>
      <c r="D16" s="153" t="str">
        <f>samen!Q16</f>
        <v/>
      </c>
      <c r="E16" s="153" t="str">
        <f>samen!R16</f>
        <v/>
      </c>
      <c r="F16" s="153" t="str">
        <f>samen!S16</f>
        <v/>
      </c>
      <c r="H16" s="153">
        <f>SUM(C16:F16)</f>
        <v>0</v>
      </c>
      <c r="J16" s="208">
        <v>1</v>
      </c>
      <c r="K16" s="153">
        <v>3</v>
      </c>
      <c r="O16"/>
      <c r="U16" s="209">
        <f t="shared" si="0"/>
        <v>4</v>
      </c>
      <c r="X16" s="153" t="s">
        <v>206</v>
      </c>
    </row>
    <row r="17" spans="2:24" ht="14.1" customHeight="1">
      <c r="B17" s="154" t="str">
        <f>AanwezigReserve!D17</f>
        <v>Herman Buysse</v>
      </c>
      <c r="C17" s="153">
        <f>samen!P17</f>
        <v>5</v>
      </c>
      <c r="D17" s="153">
        <f>samen!Q17</f>
        <v>0</v>
      </c>
      <c r="E17" s="153">
        <f>samen!R17</f>
        <v>3</v>
      </c>
      <c r="F17" s="153">
        <f>samen!S17</f>
        <v>1</v>
      </c>
      <c r="H17" s="153">
        <f t="shared" si="1"/>
        <v>9</v>
      </c>
      <c r="J17" s="208">
        <v>5</v>
      </c>
      <c r="K17" s="153">
        <v>0</v>
      </c>
      <c r="O17"/>
      <c r="U17" s="209">
        <f t="shared" si="0"/>
        <v>5</v>
      </c>
      <c r="X17" s="153" t="s">
        <v>207</v>
      </c>
    </row>
    <row r="18" spans="2:24" ht="14.1" customHeight="1">
      <c r="B18" s="154" t="str">
        <f>AanwezigReserve!D18</f>
        <v>Hubert Verplaetse</v>
      </c>
      <c r="C18" s="153">
        <f>samen!P18</f>
        <v>1</v>
      </c>
      <c r="D18" s="153">
        <f>samen!Q18</f>
        <v>0</v>
      </c>
      <c r="E18" s="153">
        <f>samen!R18</f>
        <v>0</v>
      </c>
      <c r="F18" s="153" t="str">
        <f>samen!S18</f>
        <v/>
      </c>
      <c r="H18" s="153">
        <f t="shared" si="1"/>
        <v>1</v>
      </c>
      <c r="J18" s="208">
        <v>6</v>
      </c>
      <c r="K18" s="153">
        <v>0</v>
      </c>
      <c r="O18"/>
      <c r="U18" s="209">
        <f t="shared" si="0"/>
        <v>6</v>
      </c>
      <c r="X18" s="153" t="s">
        <v>208</v>
      </c>
    </row>
    <row r="19" spans="2:24" ht="14.1" customHeight="1">
      <c r="B19" s="154" t="str">
        <f>AanwezigReserve!D19</f>
        <v>Ivan Scheir</v>
      </c>
      <c r="C19" s="153">
        <f>samen!P19</f>
        <v>0</v>
      </c>
      <c r="D19" s="153">
        <f>samen!Q19</f>
        <v>0</v>
      </c>
      <c r="E19" s="153">
        <f>samen!R19</f>
        <v>1</v>
      </c>
      <c r="F19" s="153">
        <f>samen!S19</f>
        <v>1</v>
      </c>
      <c r="H19" s="153">
        <f t="shared" si="1"/>
        <v>2</v>
      </c>
      <c r="J19" s="208">
        <v>1</v>
      </c>
      <c r="K19" s="153">
        <v>5</v>
      </c>
      <c r="O19"/>
      <c r="U19" s="209">
        <f t="shared" si="0"/>
        <v>6</v>
      </c>
      <c r="X19" s="153" t="s">
        <v>209</v>
      </c>
    </row>
    <row r="20" spans="2:24" ht="14.1" customHeight="1">
      <c r="B20" s="154" t="str">
        <f>AanwezigReserve!D20</f>
        <v>Jacqueline Geubels</v>
      </c>
      <c r="C20" s="153">
        <f>samen!P20</f>
        <v>0</v>
      </c>
      <c r="D20" s="153">
        <f>samen!Q20</f>
        <v>0</v>
      </c>
      <c r="E20" s="153">
        <f>samen!R20</f>
        <v>3</v>
      </c>
      <c r="F20" s="153">
        <f>samen!S20</f>
        <v>0</v>
      </c>
      <c r="H20" s="153">
        <f t="shared" si="1"/>
        <v>3</v>
      </c>
      <c r="J20" s="208">
        <v>3</v>
      </c>
      <c r="K20" s="153">
        <v>3</v>
      </c>
      <c r="O20"/>
      <c r="U20" s="209">
        <f t="shared" si="0"/>
        <v>6</v>
      </c>
      <c r="X20" s="153" t="s">
        <v>210</v>
      </c>
    </row>
    <row r="21" spans="2:24" ht="14.1" customHeight="1">
      <c r="B21" s="154" t="str">
        <f>AanwezigReserve!D21</f>
        <v>Jacques De Meester</v>
      </c>
      <c r="C21" s="153">
        <f>samen!P21</f>
        <v>1</v>
      </c>
      <c r="D21" s="153">
        <f>samen!Q21</f>
        <v>0</v>
      </c>
      <c r="E21" s="153">
        <f>samen!R21</f>
        <v>0</v>
      </c>
      <c r="F21" s="153">
        <f>samen!S21</f>
        <v>0</v>
      </c>
      <c r="H21" s="153">
        <f t="shared" si="1"/>
        <v>1</v>
      </c>
      <c r="J21" s="208">
        <v>7</v>
      </c>
      <c r="K21" s="153">
        <v>7</v>
      </c>
      <c r="O21"/>
      <c r="U21" s="209">
        <f t="shared" si="0"/>
        <v>14</v>
      </c>
      <c r="X21" s="153" t="s">
        <v>211</v>
      </c>
    </row>
    <row r="22" spans="2:24" ht="14.1" customHeight="1">
      <c r="B22" s="154" t="str">
        <f>AanwezigReserve!D22</f>
        <v>JeanM. Van Veirdeghem</v>
      </c>
      <c r="C22" s="153">
        <f>samen!P22</f>
        <v>1</v>
      </c>
      <c r="D22" s="153">
        <f>samen!Q22</f>
        <v>1</v>
      </c>
      <c r="E22" s="153">
        <f>samen!R22</f>
        <v>0</v>
      </c>
      <c r="F22" s="153">
        <f>samen!S22</f>
        <v>1</v>
      </c>
      <c r="H22" s="153">
        <f>SUM(C22:F22)</f>
        <v>3</v>
      </c>
      <c r="J22" s="208">
        <v>4</v>
      </c>
      <c r="K22" s="153">
        <v>0</v>
      </c>
      <c r="O22"/>
      <c r="U22" s="209">
        <f t="shared" si="0"/>
        <v>4</v>
      </c>
      <c r="X22" s="153" t="s">
        <v>212</v>
      </c>
    </row>
    <row r="23" spans="2:24" ht="14.1" customHeight="1">
      <c r="B23" s="154" t="str">
        <f>AanwezigReserve!D23</f>
        <v>Johan Saey</v>
      </c>
      <c r="C23" s="153">
        <f>samen!P23</f>
        <v>0</v>
      </c>
      <c r="D23" s="153">
        <f>samen!Q23</f>
        <v>0</v>
      </c>
      <c r="E23" s="153">
        <f>samen!R23</f>
        <v>1</v>
      </c>
      <c r="F23" s="153">
        <f>samen!S23</f>
        <v>0</v>
      </c>
      <c r="H23" s="153">
        <f t="shared" si="1"/>
        <v>1</v>
      </c>
      <c r="J23" s="208">
        <v>5</v>
      </c>
      <c r="K23" s="153">
        <v>4</v>
      </c>
      <c r="O23"/>
      <c r="U23" s="209">
        <f t="shared" si="0"/>
        <v>9</v>
      </c>
      <c r="X23" s="153" t="s">
        <v>213</v>
      </c>
    </row>
    <row r="24" spans="2:24" ht="14.1" customHeight="1">
      <c r="B24" s="154" t="str">
        <f>AanwezigReserve!D24</f>
        <v>Jozef Van Landeghem</v>
      </c>
      <c r="C24" s="153">
        <f>samen!P24</f>
        <v>5</v>
      </c>
      <c r="D24" s="153">
        <f>samen!Q24</f>
        <v>1</v>
      </c>
      <c r="E24" s="153">
        <f>samen!R24</f>
        <v>0</v>
      </c>
      <c r="F24" s="153">
        <f>samen!S24</f>
        <v>0</v>
      </c>
      <c r="H24" s="153">
        <f t="shared" si="1"/>
        <v>6</v>
      </c>
      <c r="J24" s="208">
        <v>2</v>
      </c>
      <c r="K24" s="153">
        <v>3</v>
      </c>
      <c r="O24"/>
      <c r="U24" s="209">
        <f t="shared" si="0"/>
        <v>5</v>
      </c>
      <c r="X24" s="153" t="s">
        <v>214</v>
      </c>
    </row>
    <row r="25" spans="2:24" ht="14.25" customHeight="1">
      <c r="B25" s="154" t="str">
        <f>AanwezigReserve!D25</f>
        <v>Julien Herrebaut</v>
      </c>
      <c r="C25" s="153">
        <f>samen!P25</f>
        <v>3</v>
      </c>
      <c r="D25" s="153">
        <f>samen!Q25</f>
        <v>0</v>
      </c>
      <c r="E25" s="153">
        <f>samen!R25</f>
        <v>0</v>
      </c>
      <c r="F25" s="153">
        <f>samen!S25</f>
        <v>0</v>
      </c>
      <c r="H25" s="153">
        <f t="shared" si="1"/>
        <v>3</v>
      </c>
      <c r="J25" s="208">
        <v>3</v>
      </c>
      <c r="K25" s="153">
        <v>4</v>
      </c>
      <c r="O25"/>
      <c r="U25" s="209">
        <f t="shared" si="0"/>
        <v>7</v>
      </c>
      <c r="X25" s="153" t="s">
        <v>215</v>
      </c>
    </row>
    <row r="26" spans="2:24" ht="14.1" customHeight="1">
      <c r="B26" s="154" t="str">
        <f>AanwezigReserve!D26</f>
        <v>Lucien Van Peteghem</v>
      </c>
      <c r="C26" s="153">
        <f>samen!P26</f>
        <v>0</v>
      </c>
      <c r="D26" s="153">
        <f>samen!Q26</f>
        <v>0</v>
      </c>
      <c r="E26" s="153">
        <f>samen!R26</f>
        <v>0</v>
      </c>
      <c r="F26" s="153">
        <f>samen!S26</f>
        <v>0</v>
      </c>
      <c r="H26" s="153">
        <f t="shared" si="1"/>
        <v>0</v>
      </c>
      <c r="J26" s="208"/>
      <c r="K26" s="153">
        <v>0</v>
      </c>
      <c r="O26"/>
      <c r="U26" s="209">
        <f t="shared" si="0"/>
        <v>0</v>
      </c>
      <c r="X26" s="153" t="s">
        <v>216</v>
      </c>
    </row>
    <row r="27" spans="2:24" ht="14.1" customHeight="1">
      <c r="B27" s="154" t="str">
        <f>AanwezigReserve!D27</f>
        <v>Lutgarde Vanderhaegen</v>
      </c>
      <c r="C27" s="153">
        <f>samen!P27</f>
        <v>0</v>
      </c>
      <c r="D27" s="153">
        <f>samen!Q27</f>
        <v>1</v>
      </c>
      <c r="E27" s="153">
        <f>samen!R27</f>
        <v>4</v>
      </c>
      <c r="F27" s="153" t="str">
        <f>samen!S27</f>
        <v/>
      </c>
      <c r="H27" s="153">
        <f t="shared" ref="H27:H35" si="2">SUM(C27:F27)</f>
        <v>5</v>
      </c>
      <c r="J27" s="208">
        <v>4</v>
      </c>
      <c r="K27" s="153">
        <v>0</v>
      </c>
      <c r="O27"/>
      <c r="U27" s="209">
        <f t="shared" si="0"/>
        <v>4</v>
      </c>
      <c r="X27" s="153" t="s">
        <v>217</v>
      </c>
    </row>
    <row r="28" spans="2:24" ht="14.1" customHeight="1">
      <c r="B28" s="154" t="str">
        <f>AanwezigReserve!D28</f>
        <v>Lydie Ysveld</v>
      </c>
      <c r="C28" s="153" t="str">
        <f>samen!P28</f>
        <v/>
      </c>
      <c r="D28" s="153" t="str">
        <f>samen!Q28</f>
        <v/>
      </c>
      <c r="E28" s="153" t="str">
        <f>samen!R28</f>
        <v/>
      </c>
      <c r="F28" s="153" t="str">
        <f>samen!S28</f>
        <v/>
      </c>
      <c r="H28" s="153">
        <f t="shared" si="2"/>
        <v>0</v>
      </c>
      <c r="J28" s="208">
        <v>4</v>
      </c>
      <c r="K28" s="153">
        <v>3</v>
      </c>
      <c r="O28"/>
      <c r="U28" s="209">
        <f t="shared" si="0"/>
        <v>7</v>
      </c>
      <c r="X28" s="153" t="s">
        <v>218</v>
      </c>
    </row>
    <row r="29" spans="2:24" ht="14.1" customHeight="1">
      <c r="B29" s="154" t="str">
        <f>AanwezigReserve!D29</f>
        <v>Marc Ediers</v>
      </c>
      <c r="C29" s="153" t="str">
        <f>samen!P29</f>
        <v/>
      </c>
      <c r="D29" s="153" t="str">
        <f>samen!Q29</f>
        <v/>
      </c>
      <c r="E29" s="153" t="str">
        <f>samen!R29</f>
        <v/>
      </c>
      <c r="F29" s="153" t="str">
        <f>samen!S29</f>
        <v/>
      </c>
      <c r="H29" s="153">
        <f t="shared" si="2"/>
        <v>0</v>
      </c>
      <c r="J29" s="208">
        <v>5</v>
      </c>
      <c r="K29" s="153">
        <v>1</v>
      </c>
      <c r="O29"/>
      <c r="U29" s="209">
        <f t="shared" si="0"/>
        <v>6</v>
      </c>
      <c r="X29" s="153" t="s">
        <v>219</v>
      </c>
    </row>
    <row r="30" spans="2:24" ht="14.1" customHeight="1">
      <c r="B30" s="154" t="str">
        <f>AanwezigReserve!D30</f>
        <v>Marguerite Van Hende</v>
      </c>
      <c r="C30" s="153">
        <f>samen!P30</f>
        <v>0</v>
      </c>
      <c r="D30" s="153">
        <f>samen!Q30</f>
        <v>0</v>
      </c>
      <c r="E30" s="153">
        <f>samen!R30</f>
        <v>0</v>
      </c>
      <c r="F30" s="153" t="str">
        <f>samen!S30</f>
        <v/>
      </c>
      <c r="H30" s="153">
        <f t="shared" si="2"/>
        <v>0</v>
      </c>
      <c r="J30" s="208"/>
      <c r="K30" s="153">
        <v>0</v>
      </c>
      <c r="O30"/>
      <c r="U30" s="209">
        <f t="shared" si="0"/>
        <v>0</v>
      </c>
      <c r="X30" s="153" t="s">
        <v>220</v>
      </c>
    </row>
    <row r="31" spans="2:24" ht="14.1" customHeight="1">
      <c r="B31" s="154" t="str">
        <f>AanwezigReserve!D31</f>
        <v>Marleen Denert</v>
      </c>
      <c r="C31" s="153">
        <f>samen!P31</f>
        <v>0</v>
      </c>
      <c r="D31" s="153">
        <f>samen!Q31</f>
        <v>0</v>
      </c>
      <c r="E31" s="153">
        <f>samen!R31</f>
        <v>4</v>
      </c>
      <c r="F31" s="153">
        <f>samen!S31</f>
        <v>0</v>
      </c>
      <c r="H31" s="153">
        <f t="shared" si="2"/>
        <v>4</v>
      </c>
      <c r="J31" s="208">
        <v>2</v>
      </c>
      <c r="K31" s="153">
        <v>0</v>
      </c>
      <c r="O31"/>
      <c r="U31" s="209">
        <f t="shared" si="0"/>
        <v>2</v>
      </c>
      <c r="X31" s="153" t="s">
        <v>221</v>
      </c>
    </row>
    <row r="32" spans="2:24" ht="14.1" customHeight="1">
      <c r="B32" s="154" t="str">
        <f>AanwezigReserve!D32</f>
        <v>Michel Van Laere</v>
      </c>
      <c r="C32" s="153">
        <f>samen!P32</f>
        <v>1</v>
      </c>
      <c r="D32" s="153">
        <f>samen!Q32</f>
        <v>2</v>
      </c>
      <c r="E32" s="153">
        <f>samen!R32</f>
        <v>2</v>
      </c>
      <c r="F32" s="153">
        <f>samen!S32</f>
        <v>0</v>
      </c>
      <c r="H32" s="153">
        <f t="shared" si="2"/>
        <v>5</v>
      </c>
      <c r="J32" s="208">
        <v>3</v>
      </c>
      <c r="K32" s="153">
        <v>7</v>
      </c>
      <c r="O32"/>
      <c r="U32" s="209">
        <f t="shared" si="0"/>
        <v>10</v>
      </c>
      <c r="X32" s="153" t="s">
        <v>222</v>
      </c>
    </row>
    <row r="33" spans="2:24" ht="14.1" customHeight="1">
      <c r="B33" s="154" t="str">
        <f>AanwezigReserve!D33</f>
        <v>Nestor Meirte</v>
      </c>
      <c r="C33" s="153">
        <f>samen!P33</f>
        <v>1</v>
      </c>
      <c r="D33" s="153">
        <f>samen!Q33</f>
        <v>0</v>
      </c>
      <c r="E33" s="153">
        <f>samen!R33</f>
        <v>2</v>
      </c>
      <c r="F33" s="153" t="str">
        <f>samen!S33</f>
        <v/>
      </c>
      <c r="H33" s="153">
        <f t="shared" si="2"/>
        <v>3</v>
      </c>
      <c r="J33" s="208">
        <v>3</v>
      </c>
      <c r="K33" s="153">
        <v>0</v>
      </c>
      <c r="O33"/>
      <c r="U33" s="209">
        <f t="shared" si="0"/>
        <v>3</v>
      </c>
      <c r="X33" s="153" t="s">
        <v>223</v>
      </c>
    </row>
    <row r="34" spans="2:24" ht="14.1" customHeight="1">
      <c r="B34" s="154" t="str">
        <f>AanwezigReserve!D34</f>
        <v>Patrick Geys</v>
      </c>
      <c r="C34" s="153">
        <f>samen!P34</f>
        <v>0</v>
      </c>
      <c r="D34" s="153">
        <f>samen!Q34</f>
        <v>0</v>
      </c>
      <c r="E34" s="153">
        <f>samen!R34</f>
        <v>0</v>
      </c>
      <c r="F34" s="153">
        <f>samen!S34</f>
        <v>5</v>
      </c>
      <c r="H34" s="153">
        <f t="shared" si="2"/>
        <v>5</v>
      </c>
      <c r="J34" s="208"/>
      <c r="K34" s="153">
        <v>0</v>
      </c>
      <c r="O34"/>
      <c r="U34" s="209">
        <f t="shared" si="0"/>
        <v>0</v>
      </c>
      <c r="X34" s="153" t="s">
        <v>224</v>
      </c>
    </row>
    <row r="35" spans="2:24" ht="14.1" customHeight="1">
      <c r="B35" s="154" t="str">
        <f>AanwezigReserve!D35</f>
        <v>Philippe Vergote</v>
      </c>
      <c r="C35" s="153" t="str">
        <f>samen!P35</f>
        <v/>
      </c>
      <c r="D35" s="153" t="str">
        <f>samen!Q35</f>
        <v/>
      </c>
      <c r="E35" s="153" t="str">
        <f>samen!R35</f>
        <v/>
      </c>
      <c r="F35" s="153" t="str">
        <f>samen!S35</f>
        <v/>
      </c>
      <c r="H35" s="153">
        <f t="shared" si="2"/>
        <v>0</v>
      </c>
      <c r="J35" s="208"/>
      <c r="K35" s="153">
        <v>13</v>
      </c>
      <c r="O35"/>
      <c r="U35" s="209">
        <f t="shared" si="0"/>
        <v>13</v>
      </c>
      <c r="X35" s="153" t="s">
        <v>225</v>
      </c>
    </row>
    <row r="36" spans="2:24" ht="14.1" customHeight="1">
      <c r="B36" s="154" t="str">
        <f>AanwezigReserve!D36</f>
        <v>Pol Callebert</v>
      </c>
      <c r="C36" s="153">
        <f>samen!P36</f>
        <v>0</v>
      </c>
      <c r="D36" s="153">
        <f>samen!Q36</f>
        <v>0</v>
      </c>
      <c r="E36" s="153">
        <f>samen!R36</f>
        <v>4</v>
      </c>
      <c r="F36" s="153" t="str">
        <f>samen!S36</f>
        <v/>
      </c>
      <c r="H36" s="153">
        <f t="shared" si="1"/>
        <v>4</v>
      </c>
      <c r="J36" s="208">
        <v>2</v>
      </c>
      <c r="K36" s="153">
        <v>0</v>
      </c>
      <c r="O36"/>
      <c r="U36" s="209">
        <f t="shared" si="0"/>
        <v>2</v>
      </c>
      <c r="X36" s="153" t="s">
        <v>226</v>
      </c>
    </row>
    <row r="37" spans="2:24" ht="14.1" customHeight="1">
      <c r="B37" s="154" t="str">
        <f>AanwezigReserve!D37</f>
        <v>Regina De Pauw</v>
      </c>
      <c r="C37" s="153">
        <f>samen!P37</f>
        <v>1</v>
      </c>
      <c r="D37" s="153">
        <f>samen!Q37</f>
        <v>0</v>
      </c>
      <c r="E37" s="153">
        <f>samen!R37</f>
        <v>3</v>
      </c>
      <c r="F37" s="153">
        <f>samen!S37</f>
        <v>0</v>
      </c>
      <c r="H37" s="153">
        <f t="shared" si="1"/>
        <v>4</v>
      </c>
      <c r="J37" s="208">
        <v>3</v>
      </c>
      <c r="K37" s="153">
        <v>0</v>
      </c>
      <c r="O37"/>
      <c r="U37" s="209">
        <f t="shared" si="0"/>
        <v>3</v>
      </c>
      <c r="X37" s="153" t="s">
        <v>227</v>
      </c>
    </row>
    <row r="38" spans="2:24" ht="14.1" customHeight="1">
      <c r="B38" s="154" t="str">
        <f>AanwezigReserve!D38</f>
        <v>Rik Malfliet</v>
      </c>
      <c r="C38" s="153" t="str">
        <f>samen!P38</f>
        <v/>
      </c>
      <c r="D38" s="153" t="str">
        <f>samen!Q38</f>
        <v/>
      </c>
      <c r="E38" s="153" t="str">
        <f>samen!R38</f>
        <v/>
      </c>
      <c r="F38" s="153" t="str">
        <f>samen!S38</f>
        <v/>
      </c>
      <c r="H38" s="153">
        <f t="shared" si="1"/>
        <v>0</v>
      </c>
      <c r="J38" s="208">
        <v>5</v>
      </c>
      <c r="K38" s="153">
        <v>1</v>
      </c>
      <c r="O38"/>
      <c r="U38" s="209">
        <f t="shared" si="0"/>
        <v>6</v>
      </c>
      <c r="X38" s="153" t="s">
        <v>228</v>
      </c>
    </row>
    <row r="39" spans="2:24" ht="14.1" customHeight="1">
      <c r="B39" s="154" t="str">
        <f>AanwezigReserve!D39</f>
        <v>Rita Van Helleputte</v>
      </c>
      <c r="C39" s="153">
        <f>samen!P39</f>
        <v>0</v>
      </c>
      <c r="D39" s="153">
        <f>samen!Q39</f>
        <v>1</v>
      </c>
      <c r="E39" s="153">
        <f>samen!R39</f>
        <v>0</v>
      </c>
      <c r="F39" s="153" t="str">
        <f>samen!S39</f>
        <v/>
      </c>
      <c r="H39" s="153">
        <f t="shared" si="1"/>
        <v>1</v>
      </c>
      <c r="J39" s="208">
        <v>4</v>
      </c>
      <c r="K39" s="153">
        <v>1</v>
      </c>
      <c r="O39"/>
      <c r="U39" s="209">
        <f t="shared" si="0"/>
        <v>5</v>
      </c>
      <c r="X39" s="153" t="s">
        <v>229</v>
      </c>
    </row>
    <row r="40" spans="2:24" ht="14.1" customHeight="1">
      <c r="B40" s="154" t="str">
        <f>AanwezigReserve!D40</f>
        <v>Roger Schietse</v>
      </c>
      <c r="C40" s="153" t="str">
        <f>samen!P40</f>
        <v/>
      </c>
      <c r="D40" s="153" t="str">
        <f>samen!Q40</f>
        <v/>
      </c>
      <c r="E40" s="153" t="str">
        <f>samen!R40</f>
        <v/>
      </c>
      <c r="F40" s="153" t="str">
        <f>samen!S40</f>
        <v/>
      </c>
      <c r="H40" s="153">
        <f t="shared" si="1"/>
        <v>0</v>
      </c>
      <c r="J40" s="208"/>
      <c r="K40" s="153">
        <v>2</v>
      </c>
      <c r="O40"/>
      <c r="U40" s="209">
        <f t="shared" si="0"/>
        <v>2</v>
      </c>
      <c r="X40" s="153" t="s">
        <v>230</v>
      </c>
    </row>
    <row r="41" spans="2:24" ht="14.1" customHeight="1">
      <c r="B41" s="154" t="str">
        <f>AanwezigReserve!D41</f>
        <v>Roger Van Peteghem</v>
      </c>
      <c r="C41" s="153">
        <f>samen!P41</f>
        <v>0</v>
      </c>
      <c r="D41" s="153">
        <f>samen!Q41</f>
        <v>0</v>
      </c>
      <c r="E41" s="153">
        <f>samen!R41</f>
        <v>0</v>
      </c>
      <c r="F41" s="153" t="str">
        <f>samen!S41</f>
        <v/>
      </c>
      <c r="H41" s="153">
        <f t="shared" si="1"/>
        <v>0</v>
      </c>
      <c r="J41" s="208">
        <v>2</v>
      </c>
      <c r="K41" s="153">
        <v>5</v>
      </c>
      <c r="O41"/>
      <c r="U41" s="209">
        <f t="shared" si="0"/>
        <v>7</v>
      </c>
      <c r="X41" s="153" t="s">
        <v>231</v>
      </c>
    </row>
    <row r="42" spans="2:24" ht="14.1" customHeight="1">
      <c r="B42" s="154" t="str">
        <f>AanwezigReserve!D42</f>
        <v>Rosane Biasino</v>
      </c>
      <c r="C42" s="153">
        <f>samen!P42</f>
        <v>0</v>
      </c>
      <c r="D42" s="153">
        <f>samen!Q42</f>
        <v>0</v>
      </c>
      <c r="E42" s="153">
        <f>samen!R42</f>
        <v>0</v>
      </c>
      <c r="F42" s="153">
        <f>samen!S42</f>
        <v>0</v>
      </c>
      <c r="H42" s="153">
        <f>SUM(C42:F42)</f>
        <v>0</v>
      </c>
      <c r="J42" s="208">
        <v>5</v>
      </c>
      <c r="K42" s="153">
        <v>0</v>
      </c>
      <c r="O42"/>
      <c r="U42" s="209">
        <f t="shared" si="0"/>
        <v>5</v>
      </c>
      <c r="X42" s="153" t="s">
        <v>232</v>
      </c>
    </row>
    <row r="43" spans="2:24" ht="14.1" customHeight="1">
      <c r="B43" s="154" t="str">
        <f>AanwezigReserve!D43</f>
        <v>Simonne Pauwels</v>
      </c>
      <c r="C43" s="153">
        <f>samen!P43</f>
        <v>0</v>
      </c>
      <c r="D43" s="153">
        <f>samen!Q43</f>
        <v>0</v>
      </c>
      <c r="E43" s="153">
        <f>samen!R43</f>
        <v>0</v>
      </c>
      <c r="F43" s="153" t="str">
        <f>samen!S43</f>
        <v/>
      </c>
      <c r="H43" s="153">
        <f>SUM(C43:F43)</f>
        <v>0</v>
      </c>
      <c r="J43" s="208">
        <v>5</v>
      </c>
      <c r="K43" s="153">
        <v>5</v>
      </c>
      <c r="O43"/>
      <c r="U43" s="209">
        <f t="shared" si="0"/>
        <v>10</v>
      </c>
      <c r="X43" s="153" t="s">
        <v>233</v>
      </c>
    </row>
    <row r="44" spans="2:24" ht="14.1" customHeight="1">
      <c r="B44" s="154" t="str">
        <f>AanwezigReserve!D44</f>
        <v>Stan Astaes</v>
      </c>
      <c r="C44" s="153">
        <f>samen!P44</f>
        <v>2</v>
      </c>
      <c r="D44" s="153">
        <f>samen!Q44</f>
        <v>3</v>
      </c>
      <c r="E44" s="153">
        <f>samen!R44</f>
        <v>0</v>
      </c>
      <c r="F44" s="153" t="str">
        <f>samen!S44</f>
        <v/>
      </c>
      <c r="H44" s="153">
        <f t="shared" si="1"/>
        <v>5</v>
      </c>
      <c r="J44" s="208">
        <v>4</v>
      </c>
      <c r="K44" s="153">
        <v>10</v>
      </c>
      <c r="O44"/>
      <c r="U44" s="209">
        <f t="shared" si="0"/>
        <v>14</v>
      </c>
      <c r="X44" s="153" t="s">
        <v>234</v>
      </c>
    </row>
    <row r="45" spans="2:24" ht="14.1" customHeight="1">
      <c r="B45" s="154" t="str">
        <f>AanwezigReserve!D45</f>
        <v>Suzanne Muijters</v>
      </c>
      <c r="C45" s="153">
        <f>samen!P45</f>
        <v>4</v>
      </c>
      <c r="D45" s="153">
        <f>samen!Q45</f>
        <v>0</v>
      </c>
      <c r="E45" s="153">
        <f>samen!R45</f>
        <v>1</v>
      </c>
      <c r="F45" s="153" t="str">
        <f>samen!S45</f>
        <v/>
      </c>
      <c r="H45" s="153">
        <f t="shared" si="1"/>
        <v>5</v>
      </c>
      <c r="J45" s="208">
        <v>6</v>
      </c>
      <c r="K45" s="153">
        <v>7</v>
      </c>
      <c r="O45"/>
      <c r="U45" s="209">
        <f t="shared" si="0"/>
        <v>13</v>
      </c>
      <c r="X45" s="153" t="s">
        <v>235</v>
      </c>
    </row>
    <row r="46" spans="2:24" ht="14.1" customHeight="1">
      <c r="B46" s="154" t="str">
        <f>AanwezigReserve!D46</f>
        <v>Tony Criel</v>
      </c>
      <c r="C46" s="153">
        <f>samen!P46</f>
        <v>0</v>
      </c>
      <c r="D46" s="153">
        <f>samen!Q46</f>
        <v>2</v>
      </c>
      <c r="E46" s="153">
        <f>samen!R46</f>
        <v>2</v>
      </c>
      <c r="F46" s="153">
        <f>samen!S46</f>
        <v>1</v>
      </c>
      <c r="H46" s="153">
        <f t="shared" si="1"/>
        <v>5</v>
      </c>
      <c r="J46" s="208">
        <v>2</v>
      </c>
      <c r="K46" s="153">
        <v>6</v>
      </c>
      <c r="O46"/>
      <c r="U46" s="209">
        <f t="shared" si="0"/>
        <v>8</v>
      </c>
      <c r="X46" s="153" t="s">
        <v>236</v>
      </c>
    </row>
    <row r="47" spans="2:24" ht="14.1" customHeight="1">
      <c r="B47" s="154" t="str">
        <f>AanwezigReserve!D47</f>
        <v>Walter Saveyn</v>
      </c>
      <c r="C47" s="153">
        <f>samen!P47</f>
        <v>2</v>
      </c>
      <c r="D47" s="153">
        <f>samen!Q47</f>
        <v>3</v>
      </c>
      <c r="E47" s="153">
        <f>samen!R47</f>
        <v>0</v>
      </c>
      <c r="F47" s="153">
        <f>samen!S47</f>
        <v>0</v>
      </c>
      <c r="H47" s="153">
        <f>SUM(D47:F47)</f>
        <v>3</v>
      </c>
      <c r="J47" s="208">
        <v>4</v>
      </c>
      <c r="K47" s="153">
        <v>0</v>
      </c>
      <c r="O47"/>
      <c r="U47" s="209">
        <f t="shared" si="0"/>
        <v>4</v>
      </c>
      <c r="X47" s="153" t="s">
        <v>237</v>
      </c>
    </row>
    <row r="48" spans="2:24" ht="14.1" customHeight="1">
      <c r="B48" s="154" t="str">
        <f>AanwezigReserve!D48</f>
        <v>Willy Duwyn</v>
      </c>
      <c r="C48" s="153">
        <f>samen!P48</f>
        <v>6</v>
      </c>
      <c r="D48" s="153">
        <f>samen!Q48</f>
        <v>0</v>
      </c>
      <c r="E48" s="153">
        <f>samen!R48</f>
        <v>2</v>
      </c>
      <c r="F48" s="153" t="str">
        <f>samen!S48</f>
        <v/>
      </c>
      <c r="H48" s="153">
        <f t="shared" si="1"/>
        <v>8</v>
      </c>
      <c r="J48" s="208"/>
      <c r="K48" s="153">
        <v>0</v>
      </c>
      <c r="O48"/>
      <c r="U48" s="209">
        <f t="shared" si="0"/>
        <v>0</v>
      </c>
    </row>
    <row r="49" spans="2:23" ht="14.1" customHeight="1">
      <c r="B49" s="154" t="str">
        <f>AanwezigReserve!D49</f>
        <v>Wim Van Peteghem</v>
      </c>
      <c r="C49" s="153">
        <f>samen!P49</f>
        <v>3</v>
      </c>
      <c r="D49" s="153">
        <f>samen!Q49</f>
        <v>0</v>
      </c>
      <c r="E49" s="153">
        <f>samen!R49</f>
        <v>0</v>
      </c>
      <c r="F49" s="153" t="str">
        <f>samen!S49</f>
        <v/>
      </c>
      <c r="H49" s="153">
        <f t="shared" si="1"/>
        <v>3</v>
      </c>
      <c r="J49" s="208"/>
      <c r="K49" s="153">
        <v>0</v>
      </c>
      <c r="O49"/>
      <c r="U49" s="209">
        <f t="shared" si="0"/>
        <v>0</v>
      </c>
    </row>
    <row r="50" spans="2:23" ht="14.1" customHeight="1">
      <c r="H50" s="153">
        <f t="shared" si="1"/>
        <v>0</v>
      </c>
      <c r="J50" s="208"/>
      <c r="K50" s="153">
        <v>0</v>
      </c>
      <c r="O50"/>
      <c r="U50" s="209">
        <f t="shared" si="0"/>
        <v>0</v>
      </c>
    </row>
    <row r="51" spans="2:23" s="264" customFormat="1" ht="14.1" customHeight="1">
      <c r="C51" s="264">
        <f>SUM(C3:C49)</f>
        <v>52</v>
      </c>
      <c r="D51" s="264">
        <f t="shared" ref="D51:H51" si="3">SUM(D3:D49)</f>
        <v>28</v>
      </c>
      <c r="E51" s="264">
        <f t="shared" si="3"/>
        <v>44</v>
      </c>
      <c r="F51" s="264">
        <f t="shared" si="3"/>
        <v>12</v>
      </c>
      <c r="G51" s="264">
        <f t="shared" si="3"/>
        <v>0</v>
      </c>
      <c r="H51" s="264">
        <f t="shared" si="3"/>
        <v>134</v>
      </c>
      <c r="J51" s="265">
        <f>SUM(J3:J50)</f>
        <v>152</v>
      </c>
      <c r="K51" s="265">
        <f>SUM(K3:K50)</f>
        <v>136</v>
      </c>
      <c r="L51" s="266"/>
      <c r="M51" s="266"/>
      <c r="N51" s="266"/>
      <c r="O51" s="267"/>
      <c r="P51" s="266"/>
      <c r="Q51" s="266"/>
      <c r="R51" s="266"/>
      <c r="S51" s="266"/>
      <c r="T51" s="266"/>
      <c r="U51" s="268">
        <f t="shared" si="0"/>
        <v>288</v>
      </c>
      <c r="W51" s="264">
        <f>SUM(U51*V51)</f>
        <v>0</v>
      </c>
    </row>
    <row r="52" spans="2:23" ht="14.1" customHeight="1">
      <c r="J52" s="153">
        <f>J51*0.2</f>
        <v>30.400000000000002</v>
      </c>
      <c r="K52" s="153">
        <f t="shared" ref="K52:S52" si="4">K51*0.2</f>
        <v>27.200000000000003</v>
      </c>
      <c r="L52" s="153">
        <f t="shared" si="4"/>
        <v>0</v>
      </c>
      <c r="M52" s="153">
        <f t="shared" si="4"/>
        <v>0</v>
      </c>
      <c r="N52" s="153">
        <f t="shared" si="4"/>
        <v>0</v>
      </c>
      <c r="O52" s="153">
        <f t="shared" si="4"/>
        <v>0</v>
      </c>
      <c r="P52" s="153">
        <f t="shared" si="4"/>
        <v>0</v>
      </c>
      <c r="Q52" s="153">
        <f t="shared" si="4"/>
        <v>0</v>
      </c>
      <c r="R52" s="153">
        <f t="shared" si="4"/>
        <v>0</v>
      </c>
      <c r="S52" s="153">
        <f t="shared" si="4"/>
        <v>0</v>
      </c>
      <c r="U52" s="153">
        <f>SUM(J52:S52)</f>
        <v>57.600000000000009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49"/>
  <sheetViews>
    <sheetView tabSelected="1" zoomScale="70" zoomScaleNormal="70" workbookViewId="0">
      <selection sqref="A1:C1048576"/>
    </sheetView>
  </sheetViews>
  <sheetFormatPr defaultColWidth="8.85546875" defaultRowHeight="12.75"/>
  <cols>
    <col min="1" max="1" width="31.85546875" customWidth="1"/>
    <col min="2" max="2" width="20.140625" customWidth="1"/>
    <col min="3" max="3" width="7.7109375" customWidth="1"/>
    <col min="4" max="4" width="11.7109375" bestFit="1" customWidth="1"/>
    <col min="7" max="7" width="12.85546875" customWidth="1"/>
  </cols>
  <sheetData>
    <row r="1" spans="1:4" ht="15.75">
      <c r="A1" s="253" t="s">
        <v>283</v>
      </c>
      <c r="B1" s="254" t="s">
        <v>180</v>
      </c>
      <c r="C1" s="254"/>
      <c r="D1" s="255" t="s">
        <v>181</v>
      </c>
    </row>
    <row r="2" spans="1:4" ht="15.75">
      <c r="A2" s="256" t="str">
        <f>AanwezigReserve!D3</f>
        <v>Brigitte Raeymaekers</v>
      </c>
      <c r="B2" s="257" t="s">
        <v>182</v>
      </c>
      <c r="C2" s="257"/>
      <c r="D2" s="313"/>
    </row>
    <row r="3" spans="1:4" ht="15.75">
      <c r="A3" s="256" t="str">
        <f>AanwezigReserve!D4</f>
        <v>Chris Cuppens</v>
      </c>
      <c r="B3" s="257" t="s">
        <v>182</v>
      </c>
      <c r="C3" s="257"/>
      <c r="D3" s="313"/>
    </row>
    <row r="4" spans="1:4" ht="15.75">
      <c r="A4" s="256" t="str">
        <f>AanwezigReserve!D5</f>
        <v>Christiane De Maesschalck</v>
      </c>
      <c r="B4" s="257" t="s">
        <v>182</v>
      </c>
      <c r="C4" s="257"/>
      <c r="D4" s="313"/>
    </row>
    <row r="5" spans="1:4" ht="15.75">
      <c r="A5" s="256" t="str">
        <f>AanwezigReserve!D6</f>
        <v>Daniel Bogaert</v>
      </c>
      <c r="B5" s="257" t="s">
        <v>182</v>
      </c>
      <c r="C5" s="257"/>
      <c r="D5" s="313"/>
    </row>
    <row r="6" spans="1:4" ht="15.75">
      <c r="A6" s="256" t="str">
        <f>AanwezigReserve!D7</f>
        <v>Daniella Vanhalewyn</v>
      </c>
      <c r="B6" s="257" t="s">
        <v>182</v>
      </c>
      <c r="C6" s="257"/>
      <c r="D6" s="313"/>
    </row>
    <row r="7" spans="1:4" ht="15.75">
      <c r="A7" s="256" t="str">
        <f>AanwezigReserve!D8</f>
        <v>Dirk De Brabander</v>
      </c>
      <c r="B7" s="257" t="s">
        <v>182</v>
      </c>
      <c r="C7" s="257"/>
      <c r="D7" s="313"/>
    </row>
    <row r="8" spans="1:4" ht="15.75">
      <c r="A8" s="256" t="str">
        <f>AanwezigReserve!D9</f>
        <v>Dirk Desante</v>
      </c>
      <c r="B8" s="257" t="s">
        <v>182</v>
      </c>
      <c r="C8" s="257"/>
      <c r="D8" s="313"/>
    </row>
    <row r="9" spans="1:4" ht="15.75">
      <c r="A9" s="256" t="str">
        <f>AanwezigReserve!D10</f>
        <v>Etienne Saveyn</v>
      </c>
      <c r="B9" s="257" t="s">
        <v>182</v>
      </c>
      <c r="C9" s="257"/>
      <c r="D9" s="313"/>
    </row>
    <row r="10" spans="1:4" ht="15.75">
      <c r="A10" s="256" t="str">
        <f>AanwezigReserve!D11</f>
        <v>Filip Dejans</v>
      </c>
      <c r="B10" s="257" t="s">
        <v>182</v>
      </c>
      <c r="C10" s="257"/>
      <c r="D10" s="313"/>
    </row>
    <row r="11" spans="1:4" ht="15.75">
      <c r="A11" s="256" t="str">
        <f>AanwezigReserve!D12</f>
        <v>Francine Thienpont</v>
      </c>
      <c r="B11" s="257" t="s">
        <v>182</v>
      </c>
      <c r="C11" s="257"/>
      <c r="D11" s="313"/>
    </row>
    <row r="12" spans="1:4" ht="15.75">
      <c r="A12" s="256" t="str">
        <f>AanwezigReserve!D13</f>
        <v>Frans Catteeuw</v>
      </c>
      <c r="B12" s="257" t="s">
        <v>182</v>
      </c>
      <c r="C12" s="257"/>
      <c r="D12" s="313"/>
    </row>
    <row r="13" spans="1:4" ht="15.75">
      <c r="A13" s="256" t="str">
        <f>AanwezigReserve!D14</f>
        <v>Freddy Moerman</v>
      </c>
      <c r="B13" s="257" t="s">
        <v>182</v>
      </c>
      <c r="C13" s="257"/>
      <c r="D13" s="313"/>
    </row>
    <row r="14" spans="1:4" ht="15.75">
      <c r="A14" s="256" t="str">
        <f>AanwezigReserve!D15</f>
        <v>Georges Tollenaere</v>
      </c>
      <c r="B14" s="257" t="s">
        <v>182</v>
      </c>
      <c r="C14" s="257"/>
      <c r="D14" s="313"/>
    </row>
    <row r="15" spans="1:4" ht="15.75">
      <c r="A15" s="256" t="str">
        <f>AanwezigReserve!D16</f>
        <v>Gina Van Den Bossche</v>
      </c>
      <c r="B15" s="257" t="s">
        <v>182</v>
      </c>
      <c r="C15" s="257"/>
      <c r="D15" s="313"/>
    </row>
    <row r="16" spans="1:4" ht="15.75">
      <c r="A16" s="256" t="str">
        <f>AanwezigReserve!D17</f>
        <v>Herman Buysse</v>
      </c>
      <c r="B16" s="257" t="s">
        <v>182</v>
      </c>
      <c r="C16" s="257"/>
      <c r="D16" s="313"/>
    </row>
    <row r="17" spans="1:4" ht="15.75">
      <c r="A17" s="256" t="str">
        <f>AanwezigReserve!D18</f>
        <v>Hubert Verplaetse</v>
      </c>
      <c r="B17" s="257" t="s">
        <v>182</v>
      </c>
      <c r="C17" s="257"/>
      <c r="D17" s="313"/>
    </row>
    <row r="18" spans="1:4" ht="15.75">
      <c r="A18" s="256" t="str">
        <f>AanwezigReserve!D19</f>
        <v>Ivan Scheir</v>
      </c>
      <c r="B18" s="257" t="s">
        <v>182</v>
      </c>
      <c r="C18" s="257"/>
      <c r="D18" s="313"/>
    </row>
    <row r="19" spans="1:4" ht="15.75">
      <c r="A19" s="256" t="str">
        <f>AanwezigReserve!D20</f>
        <v>Jacqueline Geubels</v>
      </c>
      <c r="B19" s="257" t="s">
        <v>182</v>
      </c>
      <c r="C19" s="257"/>
      <c r="D19" s="313"/>
    </row>
    <row r="20" spans="1:4" ht="15.75">
      <c r="A20" s="256" t="str">
        <f>AanwezigReserve!D21</f>
        <v>Jacques De Meester</v>
      </c>
      <c r="B20" s="257" t="s">
        <v>182</v>
      </c>
      <c r="C20" s="257"/>
      <c r="D20" s="313"/>
    </row>
    <row r="21" spans="1:4" ht="15.75">
      <c r="A21" s="256" t="str">
        <f>AanwezigReserve!D22</f>
        <v>JeanM. Van Veirdeghem</v>
      </c>
      <c r="B21" s="257" t="s">
        <v>182</v>
      </c>
      <c r="C21" s="257"/>
      <c r="D21" s="313"/>
    </row>
    <row r="22" spans="1:4" ht="15.75">
      <c r="A22" s="256" t="str">
        <f>AanwezigReserve!D23</f>
        <v>Johan Saey</v>
      </c>
      <c r="B22" s="257" t="s">
        <v>182</v>
      </c>
      <c r="C22" s="257"/>
      <c r="D22" s="313"/>
    </row>
    <row r="23" spans="1:4" ht="15.75">
      <c r="A23" s="256" t="str">
        <f>AanwezigReserve!D24</f>
        <v>Jozef Van Landeghem</v>
      </c>
      <c r="B23" s="257" t="s">
        <v>182</v>
      </c>
      <c r="C23" s="257">
        <v>30</v>
      </c>
      <c r="D23" s="313"/>
    </row>
    <row r="24" spans="1:4" ht="15.75">
      <c r="A24" s="256" t="str">
        <f>AanwezigReserve!D25</f>
        <v>Julien Herrebaut</v>
      </c>
      <c r="B24" s="257" t="s">
        <v>182</v>
      </c>
      <c r="C24" s="257"/>
      <c r="D24" s="313"/>
    </row>
    <row r="25" spans="1:4" ht="15.75">
      <c r="A25" s="256" t="str">
        <f>AanwezigReserve!D26</f>
        <v>Lucien Van Peteghem</v>
      </c>
      <c r="B25" s="257" t="s">
        <v>182</v>
      </c>
      <c r="C25" s="257"/>
      <c r="D25" s="313"/>
    </row>
    <row r="26" spans="1:4" ht="15.75">
      <c r="A26" s="256" t="str">
        <f>AanwezigReserve!D27</f>
        <v>Lutgarde Vanderhaegen</v>
      </c>
      <c r="B26" s="257" t="s">
        <v>182</v>
      </c>
      <c r="C26" s="257"/>
      <c r="D26" s="313"/>
    </row>
    <row r="27" spans="1:4" ht="15.75">
      <c r="A27" s="256" t="str">
        <f>AanwezigReserve!D28</f>
        <v>Lydie Ysveld</v>
      </c>
      <c r="B27" s="257" t="s">
        <v>182</v>
      </c>
      <c r="C27" s="257">
        <v>30</v>
      </c>
      <c r="D27" s="313"/>
    </row>
    <row r="28" spans="1:4" ht="15.75">
      <c r="A28" s="256" t="str">
        <f>AanwezigReserve!D29</f>
        <v>Marc Ediers</v>
      </c>
      <c r="B28" s="257" t="s">
        <v>182</v>
      </c>
      <c r="C28" s="257"/>
      <c r="D28" s="313"/>
    </row>
    <row r="29" spans="1:4" ht="15.75">
      <c r="A29" s="256" t="str">
        <f>AanwezigReserve!D30</f>
        <v>Marguerite Van Hende</v>
      </c>
      <c r="B29" s="257" t="s">
        <v>182</v>
      </c>
      <c r="C29" s="257"/>
      <c r="D29" s="313"/>
    </row>
    <row r="30" spans="1:4" ht="15.75">
      <c r="A30" s="256" t="str">
        <f>AanwezigReserve!D31</f>
        <v>Marleen Denert</v>
      </c>
      <c r="B30" s="257" t="s">
        <v>182</v>
      </c>
      <c r="C30" s="257"/>
      <c r="D30" s="313"/>
    </row>
    <row r="31" spans="1:4" ht="15.75">
      <c r="A31" s="256" t="str">
        <f>AanwezigReserve!D32</f>
        <v>Michel Van Laere</v>
      </c>
      <c r="B31" s="257" t="s">
        <v>182</v>
      </c>
      <c r="C31" s="257"/>
      <c r="D31" s="313"/>
    </row>
    <row r="32" spans="1:4" ht="15.75">
      <c r="A32" s="256" t="str">
        <f>AanwezigReserve!D33</f>
        <v>Nestor Meirte</v>
      </c>
      <c r="B32" s="257" t="s">
        <v>182</v>
      </c>
      <c r="C32" s="257"/>
      <c r="D32" s="313"/>
    </row>
    <row r="33" spans="1:8" ht="15.75">
      <c r="A33" s="256" t="str">
        <f>AanwezigReserve!D34</f>
        <v>Patrick Geys</v>
      </c>
      <c r="B33" s="257" t="s">
        <v>182</v>
      </c>
      <c r="C33" s="257"/>
      <c r="D33" s="313"/>
      <c r="H33" s="255"/>
    </row>
    <row r="34" spans="1:8" ht="15.75">
      <c r="A34" s="256" t="str">
        <f>AanwezigReserve!D35</f>
        <v>Philippe Vergote</v>
      </c>
      <c r="B34" s="257" t="s">
        <v>182</v>
      </c>
      <c r="C34" s="257"/>
      <c r="D34" s="314"/>
    </row>
    <row r="35" spans="1:8" ht="15.75">
      <c r="A35" s="256" t="str">
        <f>AanwezigReserve!D36</f>
        <v>Pol Callebert</v>
      </c>
      <c r="B35" s="257" t="s">
        <v>182</v>
      </c>
      <c r="C35" s="257"/>
      <c r="D35" s="313"/>
    </row>
    <row r="36" spans="1:8" ht="15.75">
      <c r="A36" s="256" t="str">
        <f>AanwezigReserve!D37</f>
        <v>Regina De Pauw</v>
      </c>
      <c r="B36" s="257" t="s">
        <v>182</v>
      </c>
      <c r="C36" s="257"/>
      <c r="D36" s="313"/>
    </row>
    <row r="37" spans="1:8" ht="15.75">
      <c r="A37" s="256" t="str">
        <f>AanwezigReserve!D38</f>
        <v>Rik Malfliet</v>
      </c>
      <c r="B37" s="257" t="s">
        <v>182</v>
      </c>
      <c r="C37" s="257"/>
      <c r="D37" s="313"/>
    </row>
    <row r="38" spans="1:8" ht="15.75">
      <c r="A38" s="256" t="str">
        <f>AanwezigReserve!D39</f>
        <v>Rita Van Helleputte</v>
      </c>
      <c r="B38" s="257" t="s">
        <v>182</v>
      </c>
      <c r="C38" s="257"/>
      <c r="D38" s="313"/>
    </row>
    <row r="39" spans="1:8" ht="15.75">
      <c r="A39" s="256" t="str">
        <f>AanwezigReserve!D40</f>
        <v>Roger Schietse</v>
      </c>
      <c r="B39" s="257" t="s">
        <v>182</v>
      </c>
      <c r="C39" s="257"/>
      <c r="D39" s="313"/>
    </row>
    <row r="40" spans="1:8" ht="15.75">
      <c r="A40" s="256" t="str">
        <f>AanwezigReserve!D41</f>
        <v>Roger Van Peteghem</v>
      </c>
      <c r="B40" s="257" t="s">
        <v>182</v>
      </c>
      <c r="C40" s="257"/>
      <c r="D40" s="313"/>
    </row>
    <row r="41" spans="1:8" ht="15.75">
      <c r="A41" s="256" t="str">
        <f>AanwezigReserve!D42</f>
        <v>Rosane Biasino</v>
      </c>
      <c r="B41" s="257" t="s">
        <v>182</v>
      </c>
      <c r="C41" s="257"/>
      <c r="D41" s="313"/>
    </row>
    <row r="42" spans="1:8" ht="15.75">
      <c r="A42" s="256" t="str">
        <f>AanwezigReserve!D43</f>
        <v>Simonne Pauwels</v>
      </c>
      <c r="B42" s="257" t="s">
        <v>182</v>
      </c>
      <c r="C42" s="257"/>
      <c r="D42" s="313"/>
    </row>
    <row r="43" spans="1:8" ht="15.75">
      <c r="A43" s="256" t="str">
        <f>AanwezigReserve!D44</f>
        <v>Stan Astaes</v>
      </c>
      <c r="B43" s="257" t="s">
        <v>182</v>
      </c>
      <c r="C43" s="257"/>
      <c r="D43" s="315"/>
    </row>
    <row r="44" spans="1:8" ht="15.75">
      <c r="A44" s="256" t="str">
        <f>AanwezigReserve!D45</f>
        <v>Suzanne Muijters</v>
      </c>
      <c r="B44" s="257" t="s">
        <v>182</v>
      </c>
      <c r="C44" s="257"/>
      <c r="D44" s="313"/>
    </row>
    <row r="45" spans="1:8" ht="15.75">
      <c r="A45" s="256" t="str">
        <f>AanwezigReserve!D46</f>
        <v>Tony Criel</v>
      </c>
      <c r="B45" s="257" t="s">
        <v>182</v>
      </c>
      <c r="C45" s="257"/>
      <c r="D45" s="313"/>
    </row>
    <row r="46" spans="1:8" ht="15.75">
      <c r="A46" s="256" t="str">
        <f>AanwezigReserve!D47</f>
        <v>Walter Saveyn</v>
      </c>
      <c r="B46" s="257" t="s">
        <v>182</v>
      </c>
      <c r="C46" s="257"/>
      <c r="D46" s="312"/>
    </row>
    <row r="47" spans="1:8" ht="14.25">
      <c r="A47" s="256" t="str">
        <f>AanwezigReserve!D48</f>
        <v>Willy Duwyn</v>
      </c>
      <c r="B47" s="257" t="s">
        <v>182</v>
      </c>
      <c r="C47" s="20"/>
      <c r="D47" s="316"/>
    </row>
    <row r="48" spans="1:8" ht="14.25">
      <c r="A48" s="256" t="str">
        <f>AanwezigReserve!D49</f>
        <v>Wim Van Peteghem</v>
      </c>
      <c r="B48" s="257" t="s">
        <v>182</v>
      </c>
      <c r="C48" s="20"/>
      <c r="D48" s="316"/>
    </row>
    <row r="49" spans="1:1" ht="14.25">
      <c r="A49" s="256" t="str">
        <f>AanwezigReserve!D50</f>
        <v xml:space="preserve">ZZAnnie </v>
      </c>
    </row>
  </sheetData>
  <phoneticPr fontId="62" type="noConversion"/>
  <pageMargins left="0.7" right="0.7" top="0.75" bottom="0.75" header="0.3" footer="0.3"/>
  <pageSetup paperSize="9" scale="8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Blad2</vt:lpstr>
      <vt:lpstr>samen</vt:lpstr>
      <vt:lpstr>Reserven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2025-11-24T18:15:46Z</cp:lastPrinted>
  <dcterms:created xsi:type="dcterms:W3CDTF">2006-07-10T11:49:33Z</dcterms:created>
  <dcterms:modified xsi:type="dcterms:W3CDTF">2025-11-24T18:23:11Z</dcterms:modified>
</cp:coreProperties>
</file>